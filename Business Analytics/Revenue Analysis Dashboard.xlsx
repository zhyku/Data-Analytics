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actions" sheetId="1" r:id="rId5"/>
    <sheet state="visible" name="Questions" sheetId="2" r:id="rId6"/>
    <sheet state="visible" name="Region Summary" sheetId="3" r:id="rId7"/>
    <sheet state="visible" name="Monthly Trend" sheetId="4" r:id="rId8"/>
  </sheets>
  <definedNames/>
  <calcPr/>
  <pivotCaches>
    <pivotCache cacheId="0" r:id="rId9"/>
  </pivotCaches>
</workbook>
</file>

<file path=xl/sharedStrings.xml><?xml version="1.0" encoding="utf-8"?>
<sst xmlns="http://schemas.openxmlformats.org/spreadsheetml/2006/main" count="2000" uniqueCount="305">
  <si>
    <t>Transaction ID</t>
  </si>
  <si>
    <t>Transaction Date</t>
  </si>
  <si>
    <t>Customer Name</t>
  </si>
  <si>
    <t>Region</t>
  </si>
  <si>
    <t>City</t>
  </si>
  <si>
    <t>Account Manager</t>
  </si>
  <si>
    <t>Product</t>
  </si>
  <si>
    <t>Product Type</t>
  </si>
  <si>
    <t>Quantity</t>
  </si>
  <si>
    <t>Unit Price 
(INR)</t>
  </si>
  <si>
    <t>Discount %</t>
  </si>
  <si>
    <t>Tax Included</t>
  </si>
  <si>
    <t>Currency</t>
  </si>
  <si>
    <t>Billing Cycle</t>
  </si>
  <si>
    <t>Payment Method</t>
  </si>
  <si>
    <t>Status</t>
  </si>
  <si>
    <t>Renewal Date</t>
  </si>
  <si>
    <t>Net Amount</t>
  </si>
  <si>
    <t>Tax Amount (18% GST)</t>
  </si>
  <si>
    <t>Final Amount</t>
  </si>
  <si>
    <t>Quarter</t>
  </si>
  <si>
    <t>TXN-1000</t>
  </si>
  <si>
    <t>SwiftLogic Labs</t>
  </si>
  <si>
    <t>North</t>
  </si>
  <si>
    <t>Jaipur</t>
  </si>
  <si>
    <t>SNEHA IYER</t>
  </si>
  <si>
    <t>Enterprise Plan</t>
  </si>
  <si>
    <t>Subscription</t>
  </si>
  <si>
    <t>Yes</t>
  </si>
  <si>
    <t>INR</t>
  </si>
  <si>
    <t>Monthly</t>
  </si>
  <si>
    <t>Cheque</t>
  </si>
  <si>
    <t>Active</t>
  </si>
  <si>
    <t>TXN-1001</t>
  </si>
  <si>
    <t>MapleTech Solutions</t>
  </si>
  <si>
    <t>East</t>
  </si>
  <si>
    <t>Kolkata</t>
  </si>
  <si>
    <t>Sneha Iyer</t>
  </si>
  <si>
    <t>Training Session</t>
  </si>
  <si>
    <t>One-time</t>
  </si>
  <si>
    <t>Quarterly</t>
  </si>
  <si>
    <t>Credit Card</t>
  </si>
  <si>
    <t>TXN-1002</t>
  </si>
  <si>
    <t>RedOak Enterprises</t>
  </si>
  <si>
    <t>Rohan Kapoor</t>
  </si>
  <si>
    <t>No</t>
  </si>
  <si>
    <t>UPI</t>
  </si>
  <si>
    <t>Paused</t>
  </si>
  <si>
    <t>TXN-1003</t>
  </si>
  <si>
    <t>Pinnacle Infra</t>
  </si>
  <si>
    <t>Patna</t>
  </si>
  <si>
    <t>Arjun Das</t>
  </si>
  <si>
    <t>TXN-1004</t>
  </si>
  <si>
    <t>VeloCity Networks</t>
  </si>
  <si>
    <t>ARJUN DAS</t>
  </si>
  <si>
    <t>API Add-on</t>
  </si>
  <si>
    <t>Add-on</t>
  </si>
  <si>
    <t>Annual</t>
  </si>
  <si>
    <t>TXN-1005</t>
  </si>
  <si>
    <t>ThunderBolt Inc</t>
  </si>
  <si>
    <t>West</t>
  </si>
  <si>
    <t>Ahmedabad</t>
  </si>
  <si>
    <t>Refunded</t>
  </si>
  <si>
    <t>TXN-1006</t>
  </si>
  <si>
    <t>NorthStar Digital</t>
  </si>
  <si>
    <t>Vikram Mehta</t>
  </si>
  <si>
    <t>Onboarding Fee</t>
  </si>
  <si>
    <t>Bank Transfer</t>
  </si>
  <si>
    <t>TXN-1007</t>
  </si>
  <si>
    <t>EverGreen IT</t>
  </si>
  <si>
    <t>MONTHLY</t>
  </si>
  <si>
    <t>TXN-1008</t>
  </si>
  <si>
    <t>QuantumBit Labs</t>
  </si>
  <si>
    <t>Chandigarh</t>
  </si>
  <si>
    <t>VIKRAM MEHTA</t>
  </si>
  <si>
    <t>Storage Upgrade</t>
  </si>
  <si>
    <t>annual</t>
  </si>
  <si>
    <t>Cancelled</t>
  </si>
  <si>
    <t>TXN-1009</t>
  </si>
  <si>
    <t>AlphaTrack Systems</t>
  </si>
  <si>
    <t>South</t>
  </si>
  <si>
    <t>Hyderabad</t>
  </si>
  <si>
    <t>TXN-1010</t>
  </si>
  <si>
    <t>Delhi</t>
  </si>
  <si>
    <t>TXN-1011</t>
  </si>
  <si>
    <t>Guwahati</t>
  </si>
  <si>
    <t>Pooja Nair</t>
  </si>
  <si>
    <t>Churned</t>
  </si>
  <si>
    <t>TXN-1012</t>
  </si>
  <si>
    <t>monthly</t>
  </si>
  <si>
    <t>TXN-1013</t>
  </si>
  <si>
    <t>CloudNine Systems</t>
  </si>
  <si>
    <t>Kochi</t>
  </si>
  <si>
    <t>Pro Plan</t>
  </si>
  <si>
    <t>quarterly</t>
  </si>
  <si>
    <t>TXN-1014</t>
  </si>
  <si>
    <t>SunRise Technologies</t>
  </si>
  <si>
    <t>TXN-1015</t>
  </si>
  <si>
    <t>UrbanGrid Analytics</t>
  </si>
  <si>
    <t>Lucknow</t>
  </si>
  <si>
    <t>TXN-1016</t>
  </si>
  <si>
    <t>TechSpark Solutions</t>
  </si>
  <si>
    <t>Mumbai</t>
  </si>
  <si>
    <t>rohan kapoor</t>
  </si>
  <si>
    <t>TXN-1017</t>
  </si>
  <si>
    <t>IronClad Security</t>
  </si>
  <si>
    <t>Starter Plan</t>
  </si>
  <si>
    <t>TXN-1018</t>
  </si>
  <si>
    <t>TXN-1019</t>
  </si>
  <si>
    <t>BrightEdge Digital</t>
  </si>
  <si>
    <t>Pune</t>
  </si>
  <si>
    <t>TXN-1020</t>
  </si>
  <si>
    <t>Chennai</t>
  </si>
  <si>
    <t>vikram mehta</t>
  </si>
  <si>
    <t>ANNUAL</t>
  </si>
  <si>
    <t>TXN-1021</t>
  </si>
  <si>
    <t>MetroSync Corp</t>
  </si>
  <si>
    <t>sneha iyer</t>
  </si>
  <si>
    <t>TXN-1022</t>
  </si>
  <si>
    <t>TerraFirm Solutions</t>
  </si>
  <si>
    <t>TXN-1023</t>
  </si>
  <si>
    <t>TXN-1024</t>
  </si>
  <si>
    <t>Surat</t>
  </si>
  <si>
    <t>TXN-1025</t>
  </si>
  <si>
    <t>TXN-1026</t>
  </si>
  <si>
    <t>CoralReef Data</t>
  </si>
  <si>
    <t>TXN-1027</t>
  </si>
  <si>
    <t>TXN-1028</t>
  </si>
  <si>
    <t>Bhubaneswar</t>
  </si>
  <si>
    <t>TXN-1029</t>
  </si>
  <si>
    <t>TXN-1030</t>
  </si>
  <si>
    <t>TEST_ACCOUNT</t>
  </si>
  <si>
    <t>TXN-1031</t>
  </si>
  <si>
    <t>31-03-2025</t>
  </si>
  <si>
    <t>ZenithBridge Consulting</t>
  </si>
  <si>
    <t>TXN-1032</t>
  </si>
  <si>
    <t>TXN-1033</t>
  </si>
  <si>
    <t>TXN-1034</t>
  </si>
  <si>
    <t>TXN-1035</t>
  </si>
  <si>
    <t>TXN-1036</t>
  </si>
  <si>
    <t>TXN-1037</t>
  </si>
  <si>
    <t>FusionWave Media</t>
  </si>
  <si>
    <t>TXN-1038</t>
  </si>
  <si>
    <t>TXN-1039</t>
  </si>
  <si>
    <t>OceanView Partners</t>
  </si>
  <si>
    <t>TXN-1040</t>
  </si>
  <si>
    <t>TXN-1041</t>
  </si>
  <si>
    <t>SkyHigh Innovations</t>
  </si>
  <si>
    <t>arjun das</t>
  </si>
  <si>
    <t>TXN-1042</t>
  </si>
  <si>
    <t>NexGen Software</t>
  </si>
  <si>
    <t>Bangalore</t>
  </si>
  <si>
    <t>TXN-1043</t>
  </si>
  <si>
    <t>BluePeak Technologies</t>
  </si>
  <si>
    <t>TXN-1044</t>
  </si>
  <si>
    <t>Noida</t>
  </si>
  <si>
    <t>TXN-1045</t>
  </si>
  <si>
    <t>SilverLine Systems</t>
  </si>
  <si>
    <t>TXN-1046</t>
  </si>
  <si>
    <t>TXN-1047</t>
  </si>
  <si>
    <t>TXN-1048</t>
  </si>
  <si>
    <t>SandStone Labs</t>
  </si>
  <si>
    <t>TXN-1049</t>
  </si>
  <si>
    <t>GoldenGate Software</t>
  </si>
  <si>
    <t>TXN-1050</t>
  </si>
  <si>
    <t>TXN-1051</t>
  </si>
  <si>
    <t>USD</t>
  </si>
  <si>
    <t>TXN-1052</t>
  </si>
  <si>
    <t>TXN-1053</t>
  </si>
  <si>
    <t>TXN-1054</t>
  </si>
  <si>
    <t>TXN-1055</t>
  </si>
  <si>
    <t>TXN-1056</t>
  </si>
  <si>
    <t>CrystalPeak Analytics</t>
  </si>
  <si>
    <t>TXN-1057</t>
  </si>
  <si>
    <t>TXN-1058</t>
  </si>
  <si>
    <t>TXN-1059</t>
  </si>
  <si>
    <t>TXN-1060</t>
  </si>
  <si>
    <t>TXN-1061</t>
  </si>
  <si>
    <t>TXN-1062</t>
  </si>
  <si>
    <t>TXN-1063</t>
  </si>
  <si>
    <t>TXN-1064</t>
  </si>
  <si>
    <t>ROHAN KAPOOR</t>
  </si>
  <si>
    <t>TXN-1065</t>
  </si>
  <si>
    <t>PixelCraft Studios</t>
  </si>
  <si>
    <t>TXN-1066</t>
  </si>
  <si>
    <t>TXN-1067</t>
  </si>
  <si>
    <t>TXN-1068</t>
  </si>
  <si>
    <t>TXN-1069</t>
  </si>
  <si>
    <t>TXN-1070</t>
  </si>
  <si>
    <t>TidalWave Tech</t>
  </si>
  <si>
    <t>TXN-1071</t>
  </si>
  <si>
    <t>TXN-1072</t>
  </si>
  <si>
    <t>TXN-1073</t>
  </si>
  <si>
    <t>TXN-1074</t>
  </si>
  <si>
    <t>TXN-1075</t>
  </si>
  <si>
    <t>TXN-1076</t>
  </si>
  <si>
    <t>TXN-1077</t>
  </si>
  <si>
    <t>TXN-1078</t>
  </si>
  <si>
    <t>TXN-1079</t>
  </si>
  <si>
    <t>TXN-1080</t>
  </si>
  <si>
    <t>TXN-1081</t>
  </si>
  <si>
    <t>POOJA NAIR</t>
  </si>
  <si>
    <t>TXN-1082</t>
  </si>
  <si>
    <t>TXN-1083</t>
  </si>
  <si>
    <t>TXN-1084</t>
  </si>
  <si>
    <t>TXN-1085</t>
  </si>
  <si>
    <t>CoreAxis Consulting</t>
  </si>
  <si>
    <t>TXN-1086</t>
  </si>
  <si>
    <t>TXN-1087</t>
  </si>
  <si>
    <t>10-08-2024</t>
  </si>
  <si>
    <t>TXN-1088</t>
  </si>
  <si>
    <t>TXN-1089</t>
  </si>
  <si>
    <t>pooja nair</t>
  </si>
  <si>
    <t>TXN-1090</t>
  </si>
  <si>
    <t>TXN-1091</t>
  </si>
  <si>
    <t>20-02-2025</t>
  </si>
  <si>
    <t>TXN-1092</t>
  </si>
  <si>
    <t>TXN-1093</t>
  </si>
  <si>
    <t>TXN-1094</t>
  </si>
  <si>
    <t>TXN-1095</t>
  </si>
  <si>
    <t>GreenLeaf Ventures</t>
  </si>
  <si>
    <t>TXN-1096</t>
  </si>
  <si>
    <t>TXN-1097</t>
  </si>
  <si>
    <t>TXN-1098</t>
  </si>
  <si>
    <t>TXN-1099</t>
  </si>
  <si>
    <t>DataPulse Inc</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</si>
  <si>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</si>
  <si>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</si>
  <si>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</si>
  <si>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</si>
  <si>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</si>
  <si>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</si>
  <si>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</si>
  <si>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</si>
  <si>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</si>
  <si>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</si>
  <si>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</si>
  <si>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</si>
  <si>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</si>
  <si>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</si>
  <si>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</si>
  <si>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</si>
  <si>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</si>
  <si>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</si>
  <si>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</si>
  <si>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</si>
  <si>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</si>
  <si>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</si>
  <si>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</si>
  <si>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</si>
  <si>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</si>
  <si>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27-08-2024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</si>
  <si>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</si>
  <si>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</si>
  <si>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</si>
  <si>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</si>
  <si>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</si>
  <si>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</si>
  <si>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</si>
  <si>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</si>
  <si>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</si>
  <si>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</si>
  <si>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</si>
  <si>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</si>
  <si>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</si>
  <si>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</si>
  <si>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</si>
  <si>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</si>
  <si>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</si>
  <si>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</si>
  <si>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</si>
  <si>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</si>
  <si>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</si>
  <si>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</si>
  <si>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</si>
  <si>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</si>
  <si>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</si>
  <si>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</si>
  <si>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</si>
  <si>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</si>
  <si>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</si>
  <si>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</si>
  <si>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</si>
  <si>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</si>
  <si>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</si>
  <si>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</si>
  <si>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</si>
  <si>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TXN-1161</t>
  </si>
  <si>
    <t>FutureTech Labs</t>
  </si>
  <si>
    <t>TXN-1162</t>
  </si>
  <si>
    <t>Questions</t>
  </si>
  <si>
    <t>Answers</t>
  </si>
  <si>
    <t>List 3 issues (anomalies) you found in the dataset and explain how it affects the analysis</t>
  </si>
  <si>
    <t>1. Month formatting caused quarter detection to fail.
2. Tax amounts nearly caused tax amount calculation to err, alongside the total.
3. Formatting on letter strings, with regard to capitalization.
Done.</t>
  </si>
  <si>
    <t>Fill the following columns in the Transactions sheet using formulas. Leave the formula intact — do NOT paste as values.
1. "Net Amount" (Column R) = Quantity × Unit Price (INR) × (1 − Discount%)
   - Apply ONLY for rows where Status = "Active"
   - For all other statuses, Net Amount = 0
2. "Tax Amount (18% GST)" (Column S):
   - If Tax Included = "Yes": Tax Amount = Net Amount − (Net Amount / 1.18)
   - If Tax Included = "No": Tax Amount = Net Amount × 0.18
3. "Final Amount" (Column T):
   - If Tax Included = "Yes": Final Amount = Net Amount
   - If Tax Included = "No": Final Amount = Net Amount + Tax Amount
4. "Quarter" (Column U) = Extract the calendar quarter from Transaction Date (Q1, Q2, Q3, Q4)
Write "Done" in cell B2 once formulas are in place.</t>
  </si>
  <si>
    <t>1. I2*J2*(1-(K2/100))
2. R2*18/118
3. IF(L2="Yes", R2+S2, R2)
4. "Q"&amp;ROUNDUP(MONTH(IFERROR(DATEVALUE(TRIM(B2)), DATE(RIGHT(B2,4), MID(B2,4,2), LEFT(B2,2))))/3,0)</t>
  </si>
  <si>
    <t>Create a new subsheet named "Region Summary" with a pivot table showing:
- Rows: Region
- Values: Total Final Amount, Count of Active Transactions, Average Discount %
(Include ONLY Active status &amp; INR currency transactions)
In cell B3, write which Region has the highest Average Final Amount per Active transaction.</t>
  </si>
  <si>
    <t>What is the total Final Amount from "Subscription" type products where:
- Status = "Active"
- Currency = "INR"
- Discount % is a valid percentage (i.e., between 0 and 100, not a decimal like 0.10 or 0.15)
Write the formula-based answer in cell B4.</t>
  </si>
  <si>
    <t>Create a new subsheet named "Monthly Trend" showing:
- Column A: Month (extracted from Transaction Date, formatted as MMM-YYYY, e.g., Jul-2024)
- Column B: Monthly Revenue (sum of Final Amount for that month, Active + INR only)
- Column C: Cumulative Revenue (running total up to that month)
- Column D: MoM Growth % = (Current Month − Previous Month) / Previous Month × 100. First month = "N/A".
All values must be formula-driven. Write the month with the highest MoM growth % in cell B5.</t>
  </si>
  <si>
    <t>How many unique customers have at least one "Active" transaction AND at least one "Cancelled" or "Churned" transaction?
(A customer counts only if they appear in BOTH categories)
Write the count (using formula) in cell B6.</t>
  </si>
  <si>
    <t>Total Final Amount</t>
  </si>
  <si>
    <t>Active Transations</t>
  </si>
  <si>
    <t>Avg Discount %</t>
  </si>
  <si>
    <t>Avg per Transaction</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</si>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</sst>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7">
    <font>
      <sz val="10.0"/>
      <color rgb="FF000000"/>
      <name val="Arial"/>
      <scheme val="minor"/>
    </font>
    <font>
      <b/>
      <sz val="10.0"/>
      <color rgb="FF000000"/>
      <name val="Calibri"/>
    </font>
    <font>
      <color theme="1"/>
      <name val="Calibri"/>
    </font>
    <font>
      <sz val="10.0"/>
      <color theme="1"/>
      <name val="Calibri"/>
    </font>
    <font>
      <b/>
      <sz val="11.0"/>
      <color rgb="FF000000"/>
      <name val="Calibri"/>
    </font>
    <font>
      <sz val="11.0"/>
      <color theme="1"/>
      <name val="Calibri"/>
    </font>
    <font>
      <color theme="1"/>
      <name val="Arial"/>
      <scheme val="minor"/>
    </font>
  </fonts>
  <fills count="4">
    <fill>
      <patternFill patternType="none"/>
    </fill>
    <fill>
      <patternFill patternType="lightGray"/>
    </fill>
    <fill>
      <patternFill patternType="solid">
        <fgColor rgb="FFC9DAF8"/>
        <bgColor rgb="FFC9DAF8"/>
      </patternFill>
    </fill>
    <fill>
      <patternFill patternType="solid">
        <fgColor rgb="FFFFF2CC"/>
        <bgColor rgb="FFFFF2CC"/>
      </patternFill>
    </fill>
  </fills>
  <borders count="3">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3" fontId="1" numFmtId="0" xfId="0" applyAlignment="1" applyFill="1" applyFont="1">
      <alignment horizontal="center" shrinkToFit="0" vertical="center" wrapText="1"/>
    </xf>
    <xf borderId="0" fillId="0" fontId="2" numFmtId="0" xfId="0" applyAlignment="1" applyFont="1">
      <alignment vertical="center"/>
    </xf>
    <xf borderId="1" fillId="0" fontId="3" numFmtId="0" xfId="0" applyBorder="1" applyFont="1"/>
    <xf borderId="1" fillId="0" fontId="3" numFmtId="164" xfId="0" applyBorder="1" applyFont="1" applyNumberFormat="1"/>
    <xf borderId="1" fillId="3" fontId="3" numFmtId="0" xfId="0" applyAlignment="1" applyBorder="1" applyFont="1">
      <alignment readingOrder="0"/>
    </xf>
    <xf borderId="1" fillId="3" fontId="3" numFmtId="0" xfId="0" applyBorder="1" applyFont="1"/>
    <xf borderId="0" fillId="0" fontId="2" numFmtId="0" xfId="0" applyFont="1"/>
    <xf borderId="2" fillId="0" fontId="3" numFmtId="0" xfId="0" applyBorder="1" applyFont="1"/>
    <xf borderId="2" fillId="0" fontId="3" numFmtId="164" xfId="0" applyBorder="1" applyFont="1" applyNumberFormat="1"/>
    <xf borderId="2" fillId="0" fontId="3" numFmtId="0" xfId="0" applyAlignment="1" applyBorder="1" applyFont="1">
      <alignment readingOrder="0"/>
    </xf>
    <xf borderId="0" fillId="2" fontId="4" numFmtId="0" xfId="0" applyAlignment="1" applyFont="1">
      <alignment horizontal="center"/>
    </xf>
    <xf borderId="0" fillId="0" fontId="5" numFmtId="0" xfId="0" applyFont="1"/>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readingOrder="0"/>
    </xf>
    <xf borderId="0" fillId="0" fontId="6" numFmtId="0" xfId="0"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164" sheet="Transactions"/>
  </cacheSource>
  <cacheFields>
    <cacheField name="Transaction ID" numFmtId="0">
      <sharedItems>
        <s v="TXN-1000"/>
        <s v="TXN-1001"/>
        <s v="TXN-1002"/>
        <s v="TXN-1003"/>
        <s v="TXN-1004"/>
        <s v="TXN-1005"/>
        <s v="TXN-1006"/>
        <s v="TXN-1007"/>
        <s v="TXN-1008"/>
        <s v="TXN-1009"/>
        <s v="TXN-1010"/>
        <s v="TXN-1011"/>
        <s v="TXN-1012"/>
        <s v="TXN-1013"/>
        <s v="TXN-1014"/>
        <s v="TXN-1015"/>
        <s v="TXN-1016"/>
        <s v="TXN-1017"/>
        <s v="TXN-1018"/>
        <s v="TXN-1019"/>
        <s v="TXN-1020"/>
        <s v="TXN-1021"/>
        <s v="TXN-1022"/>
        <s v="TXN-1023"/>
        <s v="TXN-1024"/>
        <s v="TXN-1025"/>
        <s v="TXN-1026"/>
        <s v="TXN-1027"/>
        <s v="TXN-1028"/>
        <s v="TXN-1029"/>
        <s v="TXN-1030"/>
        <s v="TXN-1031"/>
        <s v="TXN-1032"/>
        <s v="TXN-1033"/>
        <s v="TXN-1034"/>
        <s v="TXN-1035"/>
        <s v="TXN-1036"/>
        <s v="TXN-1037"/>
        <s v="TXN-1038"/>
        <s v="TXN-1039"/>
        <s v="TXN-1040"/>
        <s v="TXN-1041"/>
        <s v="TXN-1042"/>
        <s v="TXN-1043"/>
        <s v="TXN-1044"/>
        <s v="TXN-1045"/>
        <s v="TXN-1046"/>
        <s v="TXN-1047"/>
        <s v="TXN-1048"/>
        <s v="TXN-1049"/>
        <s v="TXN-1050"/>
        <s v="TXN-1051"/>
        <s v="TXN-1052"/>
        <s v="TXN-1053"/>
        <s v="TXN-1054"/>
        <s v="TXN-1055"/>
        <s v="TXN-1056"/>
        <s v="TXN-1057"/>
        <s v="TXN-1058"/>
        <s v="TXN-1059"/>
        <s v="TXN-1060"/>
        <s v="TXN-1061"/>
        <s v="TXN-1062"/>
        <s v="TXN-1063"/>
        <s v="TXN-1064"/>
        <s v="TXN-1065"/>
        <s v="TXN-1066"/>
        <s v="TXN-1067"/>
        <s v="TXN-1068"/>
        <s v="TXN-1069"/>
        <s v="TXN-1070"/>
        <s v="TXN-1071"/>
        <s v="TXN-1072"/>
        <s v="TXN-1073"/>
        <s v="TXN-1074"/>
        <s v="TXN-1075"/>
        <s v="TXN-1076"/>
        <s v="TXN-1077"/>
        <s v="TXN-1078"/>
        <s v="TXN-1079"/>
        <s v="TXN-1080"/>
        <s v="TXN-1081"/>
        <s v="TXN-1082"/>
        <s v="TXN-1083"/>
        <s v="TXN-1084"/>
        <s v="TXN-1085"/>
        <s v="TXN-1086"/>
        <s v="TXN-1087"/>
        <s v="TXN-1088"/>
        <s v="TXN-1089"/>
        <s v="TXN-1090"/>
        <s v="TXN-1091"/>
        <s v="TXN-1092"/>
        <s v="TXN-1093"/>
        <s v="TXN-1094"/>
        <s v="TXN-1095"/>
        <s v="TXN-1096"/>
        <s v="TXN-1097"/>
        <s v="TXN-1098"/>
        <s v="TXN-1099"/>
        <s v="TXN-1100"/>
        <s v="TXN-1101"/>
        <s v="TXN-1102"/>
        <s v="TXN-1103"/>
        <s v="TXN-1104"/>
        <s v="TXN-1105"/>
        <s v="TXN-1106"/>
        <s v="TXN-1107"/>
        <s v="TXN-1108"/>
        <s v="TXN-1109"/>
        <s v="TXN-1110"/>
        <s v="TXN-1111"/>
        <s v="TXN-1112"/>
        <s v="TXN-1113"/>
        <s v="TXN-1114"/>
        <s v="TXN-1115"/>
        <s v="TXN-1116"/>
        <s v="TXN-1117"/>
        <s v="TXN-1118"/>
        <s v="TXN-1119"/>
        <s v="TXN-1120"/>
        <s v="TXN-1121"/>
        <s v="TXN-1122"/>
        <s v="TXN-1123"/>
        <s v="TXN-1124"/>
        <s v="TXN-1125"/>
        <s v="TXN-1126"/>
        <s v="TXN-1127"/>
        <s v="TXN-1128"/>
        <s v="TXN-1129"/>
        <s v="TXN-1130"/>
        <s v="TXN-1131"/>
        <s v="TXN-1132"/>
        <s v="TXN-1133"/>
        <s v="TXN-1134"/>
        <s v="TXN-1135"/>
        <s v="TXN-1136"/>
        <s v="TXN-1137"/>
        <s v="TXN-1138"/>
        <s v="TXN-1139"/>
        <s v="TXN-1140"/>
        <s v="TXN-1141"/>
        <s v="TXN-1142"/>
        <s v="TXN-1143"/>
        <s v="TXN-1144"/>
        <s v="TXN-1145"/>
        <s v="TXN-1146"/>
        <s v="TXN-1147"/>
        <s v="TXN-1148"/>
        <s v="TXN-1149"/>
        <s v="TXN-1150"/>
        <s v="TXN-1151"/>
        <s v="TXN-1152"/>
        <s v="TXN-1153"/>
        <s v="TXN-1154"/>
        <s v="TXN-1155"/>
        <s v="TXN-1156"/>
        <s v="TXN-1157"/>
        <s v="TXN-1158"/>
        <s v="TXN-1159"/>
        <s v="TXN-1161"/>
        <s v="TXN-1162"/>
      </sharedItems>
    </cacheField>
    <cacheField name="Transaction Date">
      <sharedItems containsDate="1" containsMixedTypes="1">
        <d v="2025-04-06T00:00:00Z"/>
        <d v="2024-09-18T00:00:00Z"/>
        <d v="2024-10-07T00:00:00Z"/>
        <d v="2024-08-06T00:00:00Z"/>
        <d v="2025-04-17T00:00:00Z"/>
        <d v="2024-07-25T00:00:00Z"/>
        <d v="2024-11-14T00:00:00Z"/>
        <d v="2024-09-21T00:00:00Z"/>
        <d v="2024-08-05T00:00:00Z"/>
        <d v="2024-08-31T00:00:00Z"/>
        <d v="2025-06-08T00:00:00Z"/>
        <d v="2025-05-31T00:00:00Z"/>
        <d v="2025-04-08T00:00:00Z"/>
        <d v="2025-02-18T00:00:00Z"/>
        <d v="2025-03-29T00:00:00Z"/>
        <d v="2024-11-11T00:00:00Z"/>
        <d v="2024-12-26T00:00:00Z"/>
        <d v="2024-11-12T00:00:00Z"/>
        <d v="2024-07-21T00:00:00Z"/>
        <d v="2025-01-27T00:00:00Z"/>
        <d v="2025-01-21T00:00:00Z"/>
        <d v="2024-12-08T00:00:00Z"/>
        <d v="2025-05-16T00:00:00Z"/>
        <d v="2025-04-07T00:00:00Z"/>
        <d v="2025-05-14T00:00:00Z"/>
        <d v="2025-06-01T00:00:00Z"/>
        <d v="2025-02-12T00:00:00Z"/>
        <d v="2025-05-17T00:00:00Z"/>
        <d v="2025-04-04T00:00:00Z"/>
        <d v="2025-01-31T00:00:00Z"/>
        <s v="31-03-2025"/>
        <d v="2024-11-20T00:00:00Z"/>
        <d v="2025-02-28T00:00:00Z"/>
        <d v="2025-01-20T00:00:00Z"/>
        <d v="2024-07-07T00:00:00Z"/>
        <d v="2024-08-14T00:00:00Z"/>
        <d v="2025-06-25T00:00:00Z"/>
        <d v="2025-06-20T00:00:00Z"/>
        <d v="2025-04-01T00:00:00Z"/>
        <d v="2024-09-03T00:00:00Z"/>
        <d v="2025-03-02T00:00:00Z"/>
        <d v="2024-10-24T00:00:00Z"/>
        <d v="2024-08-08T00:00:00Z"/>
        <d v="2024-12-13T00:00:00Z"/>
        <d v="2024-08-16T00:00:00Z"/>
        <d v="2025-01-23T00:00:00Z"/>
        <d v="2025-02-10T00:00:00Z"/>
        <d v="2024-09-17T00:00:00Z"/>
        <d v="2025-01-29T00:00:00Z"/>
        <d v="2025-02-19T00:00:00Z"/>
        <d v="2024-12-17T00:00:00Z"/>
        <d v="2025-01-11T00:00:00Z"/>
        <d v="2024-07-15T00:00:00Z"/>
        <d v="2024-10-27T00:00:00Z"/>
        <d v="2025-01-13T00:00:00Z"/>
        <d v="2024-10-26T00:00:00Z"/>
        <d v="2024-11-29T00:00:00Z"/>
        <d v="2024-08-25T00:00:00Z"/>
        <d v="2025-03-10T00:00:00Z"/>
        <d v="2025-02-13T00:00:00Z"/>
        <d v="2024-07-11T00:00:00Z"/>
        <d v="2024-09-13T00:00:00Z"/>
        <d v="2024-08-28T00:00:00Z"/>
        <d v="2025-01-22T00:00:00Z"/>
        <d v="2024-11-25T00:00:00Z"/>
        <d v="2025-05-15T00:00:00Z"/>
        <d v="2024-09-11T00:00:00Z"/>
        <d v="2025-06-11T00:00:00Z"/>
        <d v="2024-07-24T00:00:00Z"/>
        <d v="2025-03-14T00:00:00Z"/>
        <d v="2024-09-26T00:00:00Z"/>
        <d v="2025-04-23T00:00:00Z"/>
        <d v="2024-08-07T00:00:00Z"/>
        <d v="2025-03-01T00:00:00Z"/>
        <d v="2025-06-13T00:00:00Z"/>
        <d v="2024-08-13T00:00:00Z"/>
        <d v="2025-03-06T00:00:00Z"/>
        <d v="2024-08-22T00:00:00Z"/>
        <d v="2025-01-08T00:00:00Z"/>
        <s v="10-08-2024"/>
        <d v="2024-08-02T00:00:00Z"/>
        <d v="2025-03-26T00:00:00Z"/>
        <d v="2024-11-01T00:00:00Z"/>
        <s v="20-02-2025"/>
        <d v="2025-05-05T00:00:00Z"/>
        <d v="2025-05-11T00:00:00Z"/>
        <d v="2025-01-04T00:00:00Z"/>
        <d v="2024-10-04T00:00:00Z"/>
        <d v="2024-09-10T00:00:00Z"/>
        <d v="2025-04-21T00:00:00Z"/>
        <d v="2025-05-06T00:00:00Z"/>
        <d v="2025-06-16T00:00:00Z"/>
        <d v="2024-08-24T00:00:00Z"/>
        <d v="2025-03-21T00:00:00Z"/>
        <d v="2025-02-26T00:00:00Z"/>
        <d v="2024-12-18T00:00:00Z"/>
        <d v="2025-01-05T00:00:00Z"/>
        <d v="2024-08-01T00:00:00Z"/>
        <d v="2024-11-04T00:00:00Z"/>
        <d v="2024-12-24T00:00:00Z"/>
        <d v="2025-04-27T00:00:00Z"/>
        <d v="2024-08-27T00:00:00Z"/>
        <d v="2024-10-03T00:00:00Z"/>
        <d v="2024-12-05T00:00:00Z"/>
        <d v="2025-03-16T00:00:00Z"/>
        <d v="2024-07-30T00:00:00Z"/>
        <d v="2024-09-08T00:00:00Z"/>
        <d v="2024-10-23T00:00:00Z"/>
        <s v="27-08-2024"/>
        <d v="2024-10-20T00:00:00Z"/>
        <d v="2025-04-02T00:00:00Z"/>
        <d v="2025-01-06T00:00:00Z"/>
        <d v="2024-10-17T00:00:00Z"/>
        <d v="2025-01-01T00:00:00Z"/>
        <d v="2025-01-30T00:00:00Z"/>
        <d v="2025-03-08T00:00:00Z"/>
        <d v="2025-06-22T00:00:00Z"/>
        <d v="2025-05-27T00:00:00Z"/>
        <d v="2024-09-12T00:00:00Z"/>
        <d v="2024-08-10T00:00:00Z"/>
        <d v="2025-01-09T00:00:00Z"/>
        <d v="2024-12-14T00:00:00Z"/>
        <d v="2025-01-26T00:00:00Z"/>
        <d v="2025-05-01T00:00:00Z"/>
        <d v="2025-03-23T00:00:00Z"/>
        <d v="2024-10-10T00:00:00Z"/>
        <d v="2025-03-28T00:00:00Z"/>
        <d v="2025-06-21T00:00:00Z"/>
        <d v="2024-07-28T00:00:00Z"/>
        <d v="2024-10-21T00:00:00Z"/>
        <d v="2025-05-09T00:00:00Z"/>
        <d v="2025-06-12T00:00:00Z"/>
        <d v="2024-08-17T00:00:00Z"/>
        <d v="2025-09-15T00:00:00Z"/>
      </sharedItems>
    </cacheField>
    <cacheField name="Customer Name" numFmtId="0">
      <sharedItems>
        <s v="SwiftLogic Labs"/>
        <s v="MapleTech Solutions"/>
        <s v="RedOak Enterprises"/>
        <s v="Pinnacle Infra"/>
        <s v="VeloCity Networks"/>
        <s v="ThunderBolt Inc"/>
        <s v="NorthStar Digital"/>
        <s v="EverGreen IT"/>
        <s v="QuantumBit Labs"/>
        <s v="AlphaTrack Systems"/>
        <s v="CloudNine Systems"/>
        <s v="SunRise Technologies"/>
        <s v="UrbanGrid Analytics"/>
        <s v="TechSpark Solutions"/>
        <s v="IronClad Security"/>
        <s v="BrightEdge Digital"/>
        <s v="MetroSync Corp"/>
        <s v="TerraFirm Solutions"/>
        <s v="CoralReef Data"/>
        <s v="TEST_ACCOUNT"/>
        <s v="ZenithBridge Consulting"/>
        <s v="FusionWave Media"/>
        <s v="OceanView Partners"/>
        <s v="SkyHigh Innovations"/>
        <s v="NexGen Software"/>
        <s v="BluePeak Technologies"/>
        <s v="SilverLine Systems"/>
        <s v="SandStone Labs"/>
        <s v="GoldenGate Software"/>
        <s v="CrystalPeak Analytics"/>
        <s v="PixelCraft Studios"/>
        <s v="TidalWave Tech"/>
        <s v="CoreAxis Consulting"/>
        <s v="GreenLeaf Ventures"/>
        <s v="DataPulse Inc"/>
        <s v="FutureTech Labs"/>
      </sharedItems>
    </cacheField>
    <cacheField name="Region" numFmtId="0">
      <sharedItems>
        <s v="North"/>
        <s v="East"/>
        <s v="West"/>
        <s v="South"/>
      </sharedItems>
    </cacheField>
    <cacheField name="City" numFmtId="0">
      <sharedItems>
        <s v="Jaipur"/>
        <s v="Kolkata"/>
        <s v="Patna"/>
        <s v="Ahmedabad"/>
        <s v="Chandigarh"/>
        <s v="Hyderabad"/>
        <s v="Delhi"/>
        <s v="Guwahati"/>
        <s v="Kochi"/>
        <s v="Lucknow"/>
        <s v="Mumbai"/>
        <s v="Pune"/>
        <s v="Chennai"/>
        <s v="Surat"/>
        <s v="Bhubaneswar"/>
        <s v="Bangalore"/>
        <s v="Noida"/>
      </sharedItems>
    </cacheField>
    <cacheField name="Account Manager" numFmtId="0">
      <sharedItems containsBlank="1">
        <s v="SNEHA IYER"/>
        <s v="Rohan Kapoor"/>
        <s v="Arjun Das"/>
        <s v="Vikram Mehta"/>
        <s v="Pooja Nair"/>
        <m/>
      </sharedItems>
    </cacheField>
    <cacheField name="Product" numFmtId="0">
      <sharedItems>
        <s v="Enterprise Plan"/>
        <s v="Training Session"/>
        <s v="API Add-on"/>
        <s v="Onboarding Fee"/>
        <s v="Storage Upgrade"/>
        <s v="Pro Plan"/>
        <s v="Starter Plan"/>
      </sharedItems>
    </cacheField>
    <cacheField name="Product Type" numFmtId="0">
      <sharedItems>
        <s v="Subscription"/>
        <s v="One-time"/>
        <s v="Add-on"/>
      </sharedItems>
    </cacheField>
    <cacheField name="Quantity" numFmtId="0">
      <sharedItems containsSemiMixedTypes="0" containsString="0" containsNumber="1" containsInteger="1">
        <n v="1.0"/>
        <n v="3.0"/>
        <n v="5.0"/>
        <n v="2.0"/>
        <n v="6.0"/>
        <n v="-2.0"/>
        <n v="-1.0"/>
      </sharedItems>
    </cacheField>
    <cacheField name="Unit Price &#10;(INR)" numFmtId="0">
      <sharedItems containsSemiMixedTypes="0" containsString="0" containsNumber="1" containsInteger="1">
        <n v="9999.0"/>
        <n v="4999.0"/>
        <n v="1499.0"/>
        <n v="14999.0"/>
        <n v="799.0"/>
        <n v="2999.0"/>
        <n v="999.0"/>
        <n v="0.0"/>
      </sharedItems>
    </cacheField>
    <cacheField name="Discount %" numFmtId="0">
      <sharedItems containsSemiMixedTypes="0" containsString="0" containsNumber="1">
        <n v="0.0"/>
        <n v="15.0"/>
        <n v="10.0"/>
        <n v="5.0"/>
        <n v="20.0"/>
        <n v="0.15"/>
        <n v="0.1"/>
      </sharedItems>
    </cacheField>
    <cacheField name="Tax Included" numFmtId="0">
      <sharedItems>
        <s v="Yes"/>
        <s v="No"/>
      </sharedItems>
    </cacheField>
    <cacheField name="Currency" numFmtId="0">
      <sharedItems>
        <s v="INR"/>
        <s v="USD"/>
      </sharedItems>
    </cacheField>
    <cacheField name="Billing Cycle" numFmtId="0">
      <sharedItems>
        <s v="Monthly"/>
        <s v="Quarterly"/>
        <s v="Annual"/>
      </sharedItems>
    </cacheField>
    <cacheField name="Payment Method" numFmtId="0">
      <sharedItems>
        <s v="Cheque"/>
        <s v="Credit Card"/>
        <s v="UPI"/>
        <s v="Bank Transfer"/>
      </sharedItems>
    </cacheField>
    <cacheField name="Status" numFmtId="0">
      <sharedItems>
        <s v="Active"/>
        <s v="Paused"/>
        <s v="Refunded"/>
        <s v="Cancelled"/>
        <s v="Churned"/>
      </sharedItems>
    </cacheField>
    <cacheField name="Renewal Date" numFmtId="164">
      <sharedItems containsDate="1" containsString="0" containsBlank="1">
        <d v="2025-05-06T00:00:00Z"/>
        <m/>
        <d v="2024-09-05T00:00:00Z"/>
        <d v="2025-12-26T00:00:00Z"/>
        <d v="2024-10-18T00:00:00Z"/>
        <d v="2025-11-12T00:00:00Z"/>
        <d v="2025-02-20T00:00:00Z"/>
        <d v="2025-12-08T00:00:00Z"/>
        <d v="2025-03-30T00:00:00Z"/>
        <d v="2025-05-01T00:00:00Z"/>
        <d v="2025-09-03T00:00:00Z"/>
        <d v="2024-09-07T00:00:00Z"/>
        <d v="2026-02-19T00:00:00Z"/>
        <d v="2024-08-14T00:00:00Z"/>
        <d v="2025-06-08T00:00:00Z"/>
        <d v="2025-08-28T00:00:00Z"/>
        <d v="2025-11-25T00:00:00Z"/>
        <d v="2025-09-09T00:00:00Z"/>
        <d v="2025-06-12T00:00:00Z"/>
        <d v="2024-12-25T00:00:00Z"/>
        <d v="2025-04-28T00:00:00Z"/>
        <d v="2025-09-11T00:00:00Z"/>
        <d v="2026-03-06T00:00:00Z"/>
        <d v="2026-05-16T00:00:00Z"/>
        <d v="2025-02-07T00:00:00Z"/>
        <d v="2024-10-31T00:00:00Z"/>
        <d v="2025-08-30T00:00:00Z"/>
        <d v="2025-10-04T00:00:00Z"/>
        <d v="2025-02-10T00:00:00Z"/>
        <d v="2025-04-15T00:00:00Z"/>
        <d v="2025-09-08T00:00:00Z"/>
        <d v="2025-02-05T00:00:00Z"/>
        <d v="2026-01-30T00:00:00Z"/>
        <d v="2025-12-14T00:00:00Z"/>
        <d v="2025-09-13T00:00:00Z"/>
        <d v="2025-08-12T00:00:00Z"/>
        <d v="2025-06-21T00:00:00Z"/>
        <d v="2024-12-10T00:00:00Z"/>
        <d v="2026-06-21T00:00:00Z"/>
        <d v="2025-07-28T00:00:00Z"/>
        <d v="2026-09-15T00:00:00Z"/>
        <d v="2025-04-10T00:00:00Z"/>
      </sharedItems>
    </cacheField>
    <cacheField name="Net Amount" numFmtId="0">
      <sharedItems containsSemiMixedTypes="0" containsString="0" containsNumber="1">
        <n v="9999.0"/>
        <n v="4249.15"/>
        <n v="4499.1"/>
        <n v="9499.05"/>
        <n v="1199.2"/>
        <n v="12749.15"/>
        <n v="14974.504500000001"/>
        <n v="2397.0"/>
        <n v="1496.7515"/>
        <n v="1349.1000000000001"/>
        <n v="7495.0"/>
        <n v="2996.001"/>
        <n v="2999.0"/>
        <n v="67495.5"/>
        <n v="2699.1"/>
        <n v="899.1"/>
        <n v="2549.15"/>
        <n v="2849.0499999999997"/>
        <n v="6745.5"/>
        <n v="14249.05"/>
        <n v="63745.75"/>
        <n v="8998.2"/>
        <n v="997.5015000000001"/>
        <n v="9998.0"/>
        <n v="2998.0"/>
        <n v="26998.2"/>
        <n v="2398.4"/>
        <n v="998.001"/>
        <n v="19996.0"/>
        <n v="1499.0"/>
        <n v="1278.4"/>
        <n v="80994.6"/>
        <n v="8999.1"/>
        <n v="999.0"/>
        <n v="22495.5"/>
        <n v="14997.0"/>
        <n v="949.05"/>
        <n v="799.0"/>
        <n v="14976.5015"/>
        <n v="759.05"/>
        <n v="1598.0"/>
        <n v="21245.75"/>
        <n v="-1596.402"/>
        <n v="9989.001"/>
        <n v="11999.2"/>
        <n v="7487.505"/>
        <n v="3989.0075"/>
        <n v="42747.15"/>
        <n v="9984.0015"/>
        <n v="-8998.2"/>
        <n v="7999.200000000001"/>
        <n v="799.2"/>
        <n v="40497.3"/>
        <n v="4994.001"/>
        <n v="798.201"/>
        <n v="74882.5075"/>
        <n v="4749.05"/>
        <n v="24970.005"/>
        <n v="29998.0"/>
        <n v="1274.1499999999999"/>
        <n v="2393.4045"/>
        <n v="2157.3"/>
        <n v="13499.1"/>
        <n v="719.1"/>
        <n v="1518.1"/>
        <n v="639.2"/>
        <n v="44997.0"/>
        <n v="8499.15"/>
        <n v="-849.15"/>
        <n v="1424.05"/>
        <n v="2994.5015000000003"/>
        <n v="74995.0"/>
        <n v="0.0"/>
      </sharedItems>
    </cacheField>
    <cacheField name="Tax Amount (18% GST)" numFmtId="0">
      <sharedItems containsSemiMixedTypes="0" containsString="0" containsNumber="1">
        <n v="1525.2711864406779"/>
        <n v="648.1754237288135"/>
        <n v="809.8380000000001"/>
        <n v="1709.8289999999997"/>
        <n v="182.92881355932207"/>
        <n v="1799.82"/>
        <n v="1944.7855932203388"/>
        <n v="2284.2464491525425"/>
        <n v="431.46"/>
        <n v="228.31802542372884"/>
        <n v="2695.41081"/>
        <n v="205.7949152542373"/>
        <n v="1349.1"/>
        <n v="457.0171016949153"/>
        <n v="457.47457627118644"/>
        <n v="12149.189999999999"/>
        <n v="411.7271186440678"/>
        <n v="161.838"/>
        <n v="388.8533898305085"/>
        <n v="512.829"/>
        <n v="1028.9745762711864"/>
        <n v="242.83800000000002"/>
        <n v="2294.8469999999998"/>
        <n v="2173.583898305085"/>
        <n v="9723.927966101695"/>
        <n v="1619.6760000000002"/>
        <n v="179.55027"/>
        <n v="1799.6399999999999"/>
        <n v="457.3220338983051"/>
        <n v="1449.007627118644"/>
        <n v="152.16124576271187"/>
        <n v="4859.676"/>
        <n v="365.85762711864413"/>
        <n v="179.64018"/>
        <n v="3599.2799999999997"/>
        <n v="228.66101694915255"/>
        <n v="195.01016949152543"/>
        <n v="14579.028"/>
        <n v="1619.838"/>
        <n v="152.38983050847457"/>
        <n v="3431.5169491525426"/>
        <n v="2699.46"/>
        <n v="170.82899999999998"/>
        <n v="3050.237288135593"/>
        <n v="485.83799999999997"/>
        <n v="143.82"/>
        <n v="2284.5510762711865"/>
        <n v="115.78728813559322"/>
        <n v="243.76271186440678"/>
        <n v="3824.2349999999997"/>
        <n v="-243.51894915254238"/>
        <n v="1798.02018"/>
        <n v="539.8199999999999"/>
        <n v="2287.677966101695"/>
        <n v="137.15084745762712"/>
        <n v="1830.3864406779662"/>
        <n v="1142.161779661017"/>
        <n v="608.4926694915255"/>
        <n v="6520.751694915255"/>
        <n v="1372.7440677966104"/>
        <n v="1522.983279661017"/>
        <n v="-1372.606779661017"/>
        <n v="686.3033898305085"/>
        <n v="179.82"/>
        <n v="1220.2169491525424"/>
        <n v="143.856"/>
        <n v="7289.514"/>
        <n v="761.7967627118645"/>
        <n v="143.67618"/>
        <n v="11422.755381355933"/>
        <n v="854.829"/>
        <n v="269.82"/>
        <n v="152.2374406779661"/>
        <n v="-287.35236"/>
        <n v="2159.856"/>
        <n v="4494.6009"/>
        <n v="365.64406779661016"/>
        <n v="4575.966101694915"/>
        <n v="431.712"/>
        <n v="121.88135593220339"/>
        <n v="229.34699999999998"/>
        <n v="430.81281"/>
        <n v="329.07966101694916"/>
        <n v="2429.838"/>
        <n v="129.438"/>
        <n v="109.69322033898305"/>
        <n v="231.57457627118643"/>
        <n v="10295.92372881356"/>
        <n v="458.847"/>
        <n v="115.056"/>
        <n v="6863.949152542373"/>
        <n v="144.77033898305083"/>
        <n v="8099.46"/>
        <n v="1296.480508474576"/>
        <n v="764.8469999999999"/>
        <n v="3240.8771186440677"/>
        <n v="-152.84699999999998"/>
        <n v="256.329"/>
        <n v="269.41527"/>
        <n v="539.01027"/>
        <n v="1439.856"/>
        <n v="11439.915254237289"/>
        <n v="2059.184745762712"/>
        <n v="0.0"/>
      </sharedItems>
    </cacheField>
    <cacheField name="Final Amount" numFmtId="0">
      <sharedItems containsSemiMixedTypes="0" containsString="0" containsNumber="1">
        <n v="9999.0"/>
        <n v="4249.15"/>
        <n v="5308.938"/>
        <n v="11208.878999999999"/>
        <n v="1199.2"/>
        <n v="11798.82"/>
        <n v="12749.15"/>
        <n v="14974.504500000001"/>
        <n v="2828.46"/>
        <n v="1496.7515"/>
        <n v="17669.91531"/>
        <n v="1349.1000000000001"/>
        <n v="8844.1"/>
        <n v="2996.001"/>
        <n v="2999.0"/>
        <n v="79644.69"/>
        <n v="2699.1"/>
        <n v="1060.938"/>
        <n v="2549.15"/>
        <n v="3361.879"/>
        <n v="6745.5"/>
        <n v="1591.938"/>
        <n v="15043.997"/>
        <n v="14249.05"/>
        <n v="63745.75"/>
        <n v="10617.876"/>
        <n v="1177.05177"/>
        <n v="11797.64"/>
        <n v="2998.0"/>
        <n v="9499.05"/>
        <n v="997.5015000000001"/>
        <n v="31857.876"/>
        <n v="2398.4"/>
        <n v="1177.64118"/>
        <n v="23595.28"/>
        <n v="1499.0"/>
        <n v="1278.4"/>
        <n v="95573.62800000001"/>
        <n v="10618.938"/>
        <n v="999.0"/>
        <n v="22495.5"/>
        <n v="17696.46"/>
        <n v="1119.879"/>
        <n v="19996.0"/>
        <n v="3184.938"/>
        <n v="942.8199999999999"/>
        <n v="14976.5015"/>
        <n v="759.05"/>
        <n v="1598.0"/>
        <n v="25069.985"/>
        <n v="-1596.402"/>
        <n v="11787.02118"/>
        <n v="3538.8199999999997"/>
        <n v="14997.0"/>
        <n v="899.1"/>
        <n v="11999.2"/>
        <n v="7487.505"/>
        <n v="3989.0075"/>
        <n v="42747.15"/>
        <n v="8999.1"/>
        <n v="9984.0015"/>
        <n v="-8998.2"/>
        <n v="4499.1"/>
        <n v="1178.82"/>
        <n v="7999.200000000001"/>
        <n v="943.056"/>
        <n v="47786.814000000006"/>
        <n v="4994.001"/>
        <n v="941.87718"/>
        <n v="74882.5075"/>
        <n v="5603.879"/>
        <n v="1768.82"/>
        <n v="998.001"/>
        <n v="-1883.75436"/>
        <n v="14159.056"/>
        <n v="29464.605900000002"/>
        <n v="2397.0"/>
        <n v="29998.0"/>
        <n v="2830.112"/>
        <n v="799.0"/>
        <n v="1503.4969999999998"/>
        <n v="2824.21731"/>
        <n v="2157.3"/>
        <n v="15928.938"/>
        <n v="848.538"/>
        <n v="719.1"/>
        <n v="1518.1"/>
        <n v="67495.5"/>
        <n v="3007.9970000000003"/>
        <n v="754.2560000000001"/>
        <n v="44997.0"/>
        <n v="949.05"/>
        <n v="53096.46"/>
        <n v="8499.15"/>
        <n v="5013.996999999999"/>
        <n v="21245.75"/>
        <n v="-1001.997"/>
        <n v="1680.379"/>
        <n v="1766.16677"/>
        <n v="3533.51177"/>
        <n v="9439.056"/>
        <n v="74995.0"/>
        <n v="13499.1"/>
        <n v="0.0"/>
      </sharedItems>
    </cacheField>
    <cacheField name="Quarter" numFmtId="0">
      <sharedItems>
        <s v="Q2"/>
        <s v="Q3"/>
        <s v="Q4"/>
        <s v="Q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egion Summary" cacheId="0" dataCaption="" compact="0" compactData="0">
  <location ref="A4:D9" firstHeaderRow="0" firstDataRow="2" firstDataCol="0" rowPageCount="2" colPageCount="1"/>
  <pivotFields>
    <pivotField name="Transaction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ame="Transac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Region" axis="axisRow" compact="0" outline="0" multipleItemSelectionAllowed="1" showAll="0" sortType="ascending">
      <items>
        <item x="1"/>
        <item x="0"/>
        <item x="3"/>
        <item x="2"/>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Account Manager" compact="0" outline="0" multipleItemSelectionAllowed="1" showAll="0">
      <items>
        <item x="0"/>
        <item x="1"/>
        <item x="2"/>
        <item x="3"/>
        <item x="4"/>
        <item x="5"/>
        <item t="default"/>
      </items>
    </pivotField>
    <pivotField name="Product" compact="0" outline="0" multipleItemSelectionAllowed="1" showAll="0">
      <items>
        <item x="0"/>
        <item x="1"/>
        <item x="2"/>
        <item x="3"/>
        <item x="4"/>
        <item x="5"/>
        <item x="6"/>
        <item t="default"/>
      </items>
    </pivotField>
    <pivotField name="Product Type" compact="0" outline="0" multipleItemSelectionAllowed="1" showAll="0">
      <items>
        <item x="0"/>
        <item x="1"/>
        <item x="2"/>
        <item t="default"/>
      </items>
    </pivotField>
    <pivotField name="Quantity" compact="0" outline="0" multipleItemSelectionAllowed="1" showAll="0">
      <items>
        <item x="0"/>
        <item x="1"/>
        <item x="2"/>
        <item x="3"/>
        <item x="4"/>
        <item x="5"/>
        <item x="6"/>
        <item t="default"/>
      </items>
    </pivotField>
    <pivotField name="Unit Price &#10;(INR)" compact="0" outline="0" multipleItemSelectionAllowed="1" showAll="0">
      <items>
        <item x="0"/>
        <item x="1"/>
        <item x="2"/>
        <item x="3"/>
        <item x="4"/>
        <item x="5"/>
        <item x="6"/>
        <item x="7"/>
        <item t="default"/>
      </items>
    </pivotField>
    <pivotField name="Discount %" dataField="1" compact="0" outline="0" multipleItemSelectionAllowed="1" showAll="0">
      <items>
        <item x="0"/>
        <item x="1"/>
        <item x="2"/>
        <item x="3"/>
        <item x="4"/>
        <item x="5"/>
        <item x="6"/>
        <item t="default"/>
      </items>
    </pivotField>
    <pivotField name="Tax Included" compact="0" outline="0" multipleItemSelectionAllowed="1" showAll="0">
      <items>
        <item x="0"/>
        <item x="1"/>
        <item t="default"/>
      </items>
    </pivotField>
    <pivotField name="Currency" axis="axisPage" compact="0" outline="0" multipleItemSelectionAllowed="1" showAll="0">
      <items>
        <item x="0"/>
        <item h="1" x="1"/>
        <item t="default"/>
      </items>
    </pivotField>
    <pivotField name="Billing Cycle" compact="0" outline="0" multipleItemSelectionAllowed="1" showAll="0">
      <items>
        <item x="0"/>
        <item x="1"/>
        <item x="2"/>
        <item t="default"/>
      </items>
    </pivotField>
    <pivotField name="Payment Method" compact="0" outline="0" multipleItemSelectionAllowed="1" showAll="0">
      <items>
        <item x="0"/>
        <item x="1"/>
        <item x="2"/>
        <item x="3"/>
        <item t="default"/>
      </items>
    </pivotField>
    <pivotField name="Status" axis="axisPage" compact="0" outline="0" multipleItemSelectionAllowed="1" showAll="0">
      <items>
        <item x="0"/>
        <item h="1" x="1"/>
        <item x="2"/>
        <item h="1" x="3"/>
        <item h="1" x="4"/>
        <item t="default"/>
      </items>
    </pivotField>
    <pivotField name="Renewal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Net Am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Tax Amount (18% G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Final 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Quarter" compact="0" outline="0" multipleItemSelectionAllowed="1" showAll="0">
      <items>
        <item x="0"/>
        <item x="1"/>
        <item x="2"/>
        <item x="3"/>
        <item t="default"/>
      </items>
    </pivotField>
  </pivotFields>
  <rowFields>
    <field x="3"/>
  </rowFields>
  <colFields>
    <field x="-2"/>
  </colFields>
  <pageFields>
    <pageField fld="15"/>
    <pageField fld="12"/>
  </pageFields>
  <dataFields>
    <dataField name="Total Final Amount" fld="19" baseField="0"/>
    <dataField name="Active Transations" fld="0" subtotal="count" baseField="0"/>
    <dataField name="Avg Discount %" fld="10"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18.5"/>
    <col customWidth="1" min="3" max="3" width="21.0"/>
    <col customWidth="1" min="4" max="4" width="10.75"/>
    <col customWidth="1" min="5" max="5" width="12.25"/>
    <col customWidth="1" min="6" max="6" width="17.5"/>
    <col customWidth="1" min="7" max="7" width="15.75"/>
    <col customWidth="1" min="8" max="8" width="12.25"/>
    <col customWidth="1" min="9" max="9" width="11.88"/>
    <col customWidth="1" min="10" max="10" width="14.0"/>
    <col customWidth="1" min="11" max="11" width="10.5"/>
    <col customWidth="1" min="12" max="12" width="12.25"/>
    <col customWidth="1" min="13" max="13" width="11.63"/>
    <col customWidth="1" min="14" max="14" width="12.25"/>
    <col customWidth="1" min="15" max="15" width="14.0"/>
    <col customWidth="1" min="16" max="16" width="11.38"/>
    <col customWidth="1" min="17" max="17" width="16.5"/>
    <col customWidth="1" min="18" max="21" width="12.5"/>
    <col customWidth="1" min="22" max="25" width="10.5"/>
  </cols>
  <sheetData>
    <row r="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3" t="s">
        <v>17</v>
      </c>
      <c r="S1" s="3" t="s">
        <v>18</v>
      </c>
      <c r="T1" s="3" t="s">
        <v>19</v>
      </c>
      <c r="U1" s="3" t="s">
        <v>20</v>
      </c>
      <c r="V1" s="4"/>
      <c r="W1" s="4"/>
      <c r="X1" s="4"/>
      <c r="Y1" s="4"/>
    </row>
    <row r="2">
      <c r="A2" s="5" t="s">
        <v>21</v>
      </c>
      <c r="B2" s="6">
        <v>45753.0</v>
      </c>
      <c r="C2" s="5" t="s">
        <v>22</v>
      </c>
      <c r="D2" s="5" t="s">
        <v>23</v>
      </c>
      <c r="E2" s="5" t="s">
        <v>24</v>
      </c>
      <c r="F2" s="5" t="s">
        <v>25</v>
      </c>
      <c r="G2" s="5" t="s">
        <v>26</v>
      </c>
      <c r="H2" s="5" t="s">
        <v>27</v>
      </c>
      <c r="I2" s="5">
        <v>1.0</v>
      </c>
      <c r="J2" s="5">
        <v>9999.0</v>
      </c>
      <c r="K2" s="5">
        <v>0.0</v>
      </c>
      <c r="L2" s="5" t="s">
        <v>28</v>
      </c>
      <c r="M2" s="5" t="s">
        <v>29</v>
      </c>
      <c r="N2" s="5" t="s">
        <v>30</v>
      </c>
      <c r="O2" s="5" t="s">
        <v>31</v>
      </c>
      <c r="P2" s="5" t="s">
        <v>32</v>
      </c>
      <c r="Q2" s="6">
        <v>45783.0</v>
      </c>
      <c r="R2" s="7">
        <f t="shared" ref="R2:R164" si="1">I2*J2*(1-(K2/100))</f>
        <v>9999</v>
      </c>
      <c r="S2" s="8">
        <f t="shared" ref="S2:S164" si="2">IF(L2="Yes", R2*18/118, R2*18%)</f>
        <v>1525.271186</v>
      </c>
      <c r="T2" s="8">
        <f t="shared" ref="T2:T164" si="3">IF(L2="Yes", R2, R2+S2)</f>
        <v>9999</v>
      </c>
      <c r="U2" s="8" t="str">
        <f t="shared" ref="U2:U164" si="4">"Q"&amp;ROUNDUP(MONTH(IFERROR(DATEVALUE(TRIM(B2)), DATE(RIGHT(B2,4), MID(B2,4,2), LEFT(B2,2))))/3,0)</f>
        <v>Q2</v>
      </c>
      <c r="V2" s="9"/>
      <c r="W2" s="9"/>
      <c r="X2" s="9"/>
      <c r="Y2" s="9"/>
    </row>
    <row r="3">
      <c r="A3" s="10" t="s">
        <v>33</v>
      </c>
      <c r="B3" s="11">
        <v>45553.0</v>
      </c>
      <c r="C3" s="10" t="s">
        <v>34</v>
      </c>
      <c r="D3" s="10" t="s">
        <v>35</v>
      </c>
      <c r="E3" s="10" t="s">
        <v>36</v>
      </c>
      <c r="F3" s="10" t="s">
        <v>37</v>
      </c>
      <c r="G3" s="10" t="s">
        <v>38</v>
      </c>
      <c r="H3" s="10" t="s">
        <v>39</v>
      </c>
      <c r="I3" s="10">
        <v>1.0</v>
      </c>
      <c r="J3" s="10">
        <v>4999.0</v>
      </c>
      <c r="K3" s="10">
        <v>15.0</v>
      </c>
      <c r="L3" s="10" t="s">
        <v>28</v>
      </c>
      <c r="M3" s="10" t="s">
        <v>29</v>
      </c>
      <c r="N3" s="10" t="s">
        <v>40</v>
      </c>
      <c r="O3" s="10" t="s">
        <v>41</v>
      </c>
      <c r="P3" s="10" t="s">
        <v>32</v>
      </c>
      <c r="Q3" s="10"/>
      <c r="R3" s="7">
        <f t="shared" si="1"/>
        <v>4249.15</v>
      </c>
      <c r="S3" s="8">
        <f t="shared" si="2"/>
        <v>648.1754237</v>
      </c>
      <c r="T3" s="8">
        <f t="shared" si="3"/>
        <v>4249.15</v>
      </c>
      <c r="U3" s="8" t="str">
        <f t="shared" si="4"/>
        <v>Q3</v>
      </c>
      <c r="V3" s="9"/>
      <c r="W3" s="9"/>
      <c r="X3" s="9"/>
      <c r="Y3" s="9"/>
    </row>
    <row r="4">
      <c r="A4" s="10" t="s">
        <v>42</v>
      </c>
      <c r="B4" s="11">
        <v>45572.0</v>
      </c>
      <c r="C4" s="10" t="s">
        <v>43</v>
      </c>
      <c r="D4" s="10" t="s">
        <v>23</v>
      </c>
      <c r="E4" s="10" t="s">
        <v>24</v>
      </c>
      <c r="F4" s="10" t="s">
        <v>44</v>
      </c>
      <c r="G4" s="10" t="s">
        <v>38</v>
      </c>
      <c r="H4" s="10" t="s">
        <v>39</v>
      </c>
      <c r="I4" s="10">
        <v>1.0</v>
      </c>
      <c r="J4" s="10">
        <v>4999.0</v>
      </c>
      <c r="K4" s="10">
        <v>10.0</v>
      </c>
      <c r="L4" s="10" t="s">
        <v>45</v>
      </c>
      <c r="M4" s="10" t="s">
        <v>29</v>
      </c>
      <c r="N4" s="10" t="s">
        <v>30</v>
      </c>
      <c r="O4" s="10" t="s">
        <v>46</v>
      </c>
      <c r="P4" s="10" t="s">
        <v>47</v>
      </c>
      <c r="Q4" s="10"/>
      <c r="R4" s="7">
        <f t="shared" si="1"/>
        <v>4499.1</v>
      </c>
      <c r="S4" s="8">
        <f t="shared" si="2"/>
        <v>809.838</v>
      </c>
      <c r="T4" s="8">
        <f t="shared" si="3"/>
        <v>5308.938</v>
      </c>
      <c r="U4" s="8" t="str">
        <f t="shared" si="4"/>
        <v>Q4</v>
      </c>
      <c r="V4" s="9"/>
      <c r="W4" s="9"/>
      <c r="X4" s="9"/>
      <c r="Y4" s="9"/>
    </row>
    <row r="5">
      <c r="A5" s="10" t="s">
        <v>48</v>
      </c>
      <c r="B5" s="11">
        <v>45510.0</v>
      </c>
      <c r="C5" s="10" t="s">
        <v>49</v>
      </c>
      <c r="D5" s="10" t="s">
        <v>35</v>
      </c>
      <c r="E5" s="10" t="s">
        <v>50</v>
      </c>
      <c r="F5" s="10" t="s">
        <v>51</v>
      </c>
      <c r="G5" s="10" t="s">
        <v>26</v>
      </c>
      <c r="H5" s="10" t="s">
        <v>27</v>
      </c>
      <c r="I5" s="10">
        <v>1.0</v>
      </c>
      <c r="J5" s="10">
        <v>9999.0</v>
      </c>
      <c r="K5" s="10">
        <v>5.0</v>
      </c>
      <c r="L5" s="10" t="s">
        <v>45</v>
      </c>
      <c r="M5" s="10" t="s">
        <v>29</v>
      </c>
      <c r="N5" s="10" t="s">
        <v>40</v>
      </c>
      <c r="O5" s="10" t="s">
        <v>46</v>
      </c>
      <c r="P5" s="10" t="s">
        <v>32</v>
      </c>
      <c r="Q5" s="11">
        <v>45540.0</v>
      </c>
      <c r="R5" s="7">
        <f t="shared" si="1"/>
        <v>9499.05</v>
      </c>
      <c r="S5" s="8">
        <f t="shared" si="2"/>
        <v>1709.829</v>
      </c>
      <c r="T5" s="8">
        <f t="shared" si="3"/>
        <v>11208.879</v>
      </c>
      <c r="U5" s="8" t="str">
        <f t="shared" si="4"/>
        <v>Q3</v>
      </c>
      <c r="V5" s="9"/>
      <c r="W5" s="9"/>
      <c r="X5" s="9"/>
      <c r="Y5" s="9"/>
    </row>
    <row r="6">
      <c r="A6" s="10" t="s">
        <v>52</v>
      </c>
      <c r="B6" s="11">
        <v>45764.0</v>
      </c>
      <c r="C6" s="10" t="s">
        <v>53</v>
      </c>
      <c r="D6" s="10" t="s">
        <v>23</v>
      </c>
      <c r="E6" s="10" t="s">
        <v>24</v>
      </c>
      <c r="F6" s="10" t="s">
        <v>54</v>
      </c>
      <c r="G6" s="10" t="s">
        <v>55</v>
      </c>
      <c r="H6" s="10" t="s">
        <v>56</v>
      </c>
      <c r="I6" s="10">
        <v>1.0</v>
      </c>
      <c r="J6" s="10">
        <v>1499.0</v>
      </c>
      <c r="K6" s="10">
        <v>20.0</v>
      </c>
      <c r="L6" s="10" t="s">
        <v>28</v>
      </c>
      <c r="M6" s="10" t="s">
        <v>29</v>
      </c>
      <c r="N6" s="10" t="s">
        <v>57</v>
      </c>
      <c r="O6" s="10" t="s">
        <v>46</v>
      </c>
      <c r="P6" s="10" t="s">
        <v>32</v>
      </c>
      <c r="Q6" s="10"/>
      <c r="R6" s="7">
        <f t="shared" si="1"/>
        <v>1199.2</v>
      </c>
      <c r="S6" s="8">
        <f t="shared" si="2"/>
        <v>182.9288136</v>
      </c>
      <c r="T6" s="8">
        <f t="shared" si="3"/>
        <v>1199.2</v>
      </c>
      <c r="U6" s="8" t="str">
        <f t="shared" si="4"/>
        <v>Q2</v>
      </c>
      <c r="V6" s="9"/>
      <c r="W6" s="9"/>
      <c r="X6" s="9"/>
      <c r="Y6" s="9"/>
    </row>
    <row r="7">
      <c r="A7" s="10" t="s">
        <v>58</v>
      </c>
      <c r="B7" s="11">
        <v>45498.0</v>
      </c>
      <c r="C7" s="10" t="s">
        <v>59</v>
      </c>
      <c r="D7" s="10" t="s">
        <v>60</v>
      </c>
      <c r="E7" s="10" t="s">
        <v>61</v>
      </c>
      <c r="F7" s="10" t="s">
        <v>37</v>
      </c>
      <c r="G7" s="10" t="s">
        <v>26</v>
      </c>
      <c r="H7" s="10" t="s">
        <v>27</v>
      </c>
      <c r="I7" s="10">
        <v>1.0</v>
      </c>
      <c r="J7" s="10">
        <v>9999.0</v>
      </c>
      <c r="K7" s="10">
        <v>0.0</v>
      </c>
      <c r="L7" s="10" t="s">
        <v>45</v>
      </c>
      <c r="M7" s="10" t="s">
        <v>29</v>
      </c>
      <c r="N7" s="10" t="s">
        <v>40</v>
      </c>
      <c r="O7" s="10" t="s">
        <v>31</v>
      </c>
      <c r="P7" s="10" t="s">
        <v>62</v>
      </c>
      <c r="Q7" s="10"/>
      <c r="R7" s="7">
        <f t="shared" si="1"/>
        <v>9999</v>
      </c>
      <c r="S7" s="8">
        <f t="shared" si="2"/>
        <v>1799.82</v>
      </c>
      <c r="T7" s="8">
        <f t="shared" si="3"/>
        <v>11798.82</v>
      </c>
      <c r="U7" s="8" t="str">
        <f t="shared" si="4"/>
        <v>Q3</v>
      </c>
      <c r="V7" s="9"/>
      <c r="W7" s="9"/>
      <c r="X7" s="9"/>
      <c r="Y7" s="9"/>
    </row>
    <row r="8">
      <c r="A8" s="10" t="s">
        <v>63</v>
      </c>
      <c r="B8" s="11">
        <v>45610.0</v>
      </c>
      <c r="C8" s="10" t="s">
        <v>64</v>
      </c>
      <c r="D8" s="10" t="s">
        <v>35</v>
      </c>
      <c r="E8" s="10" t="s">
        <v>36</v>
      </c>
      <c r="F8" s="10" t="s">
        <v>65</v>
      </c>
      <c r="G8" s="10" t="s">
        <v>66</v>
      </c>
      <c r="H8" s="10" t="s">
        <v>39</v>
      </c>
      <c r="I8" s="10">
        <v>1.0</v>
      </c>
      <c r="J8" s="10">
        <v>14999.0</v>
      </c>
      <c r="K8" s="10">
        <v>15.0</v>
      </c>
      <c r="L8" s="10" t="s">
        <v>28</v>
      </c>
      <c r="M8" s="10" t="s">
        <v>29</v>
      </c>
      <c r="N8" s="10" t="s">
        <v>30</v>
      </c>
      <c r="O8" s="10" t="s">
        <v>67</v>
      </c>
      <c r="P8" s="10" t="s">
        <v>32</v>
      </c>
      <c r="Q8" s="10"/>
      <c r="R8" s="7">
        <f t="shared" si="1"/>
        <v>12749.15</v>
      </c>
      <c r="S8" s="8">
        <f t="shared" si="2"/>
        <v>1944.785593</v>
      </c>
      <c r="T8" s="8">
        <f t="shared" si="3"/>
        <v>12749.15</v>
      </c>
      <c r="U8" s="8" t="str">
        <f t="shared" si="4"/>
        <v>Q4</v>
      </c>
      <c r="V8" s="9"/>
      <c r="W8" s="9"/>
      <c r="X8" s="9"/>
      <c r="Y8" s="9"/>
    </row>
    <row r="9">
      <c r="A9" s="10" t="s">
        <v>68</v>
      </c>
      <c r="B9" s="11">
        <v>45556.0</v>
      </c>
      <c r="C9" s="10" t="s">
        <v>69</v>
      </c>
      <c r="D9" s="10" t="s">
        <v>23</v>
      </c>
      <c r="E9" s="10" t="s">
        <v>24</v>
      </c>
      <c r="F9" s="10" t="s">
        <v>44</v>
      </c>
      <c r="G9" s="10" t="s">
        <v>38</v>
      </c>
      <c r="H9" s="10" t="s">
        <v>39</v>
      </c>
      <c r="I9" s="10">
        <v>3.0</v>
      </c>
      <c r="J9" s="10">
        <v>4999.0</v>
      </c>
      <c r="K9" s="10">
        <v>0.15</v>
      </c>
      <c r="L9" s="10" t="s">
        <v>28</v>
      </c>
      <c r="M9" s="10" t="s">
        <v>29</v>
      </c>
      <c r="N9" s="10" t="s">
        <v>70</v>
      </c>
      <c r="O9" s="10" t="s">
        <v>46</v>
      </c>
      <c r="P9" s="10" t="s">
        <v>32</v>
      </c>
      <c r="Q9" s="10"/>
      <c r="R9" s="7">
        <f t="shared" si="1"/>
        <v>14974.5045</v>
      </c>
      <c r="S9" s="8">
        <f t="shared" si="2"/>
        <v>2284.246449</v>
      </c>
      <c r="T9" s="8">
        <f t="shared" si="3"/>
        <v>14974.5045</v>
      </c>
      <c r="U9" s="8" t="str">
        <f t="shared" si="4"/>
        <v>Q3</v>
      </c>
      <c r="V9" s="9"/>
      <c r="W9" s="9"/>
      <c r="X9" s="9"/>
      <c r="Y9" s="9"/>
    </row>
    <row r="10">
      <c r="A10" s="10" t="s">
        <v>71</v>
      </c>
      <c r="B10" s="11">
        <v>45509.0</v>
      </c>
      <c r="C10" s="10" t="s">
        <v>72</v>
      </c>
      <c r="D10" s="10" t="s">
        <v>23</v>
      </c>
      <c r="E10" s="10" t="s">
        <v>73</v>
      </c>
      <c r="F10" s="10" t="s">
        <v>74</v>
      </c>
      <c r="G10" s="10" t="s">
        <v>75</v>
      </c>
      <c r="H10" s="10" t="s">
        <v>56</v>
      </c>
      <c r="I10" s="10">
        <v>3.0</v>
      </c>
      <c r="J10" s="10">
        <v>799.0</v>
      </c>
      <c r="K10" s="10">
        <v>0.0</v>
      </c>
      <c r="L10" s="10" t="s">
        <v>45</v>
      </c>
      <c r="M10" s="10" t="s">
        <v>29</v>
      </c>
      <c r="N10" s="10" t="s">
        <v>76</v>
      </c>
      <c r="O10" s="10" t="s">
        <v>31</v>
      </c>
      <c r="P10" s="10" t="s">
        <v>77</v>
      </c>
      <c r="Q10" s="10"/>
      <c r="R10" s="7">
        <f t="shared" si="1"/>
        <v>2397</v>
      </c>
      <c r="S10" s="8">
        <f t="shared" si="2"/>
        <v>431.46</v>
      </c>
      <c r="T10" s="8">
        <f t="shared" si="3"/>
        <v>2828.46</v>
      </c>
      <c r="U10" s="8" t="str">
        <f t="shared" si="4"/>
        <v>Q3</v>
      </c>
      <c r="V10" s="9"/>
      <c r="W10" s="9"/>
      <c r="X10" s="9"/>
      <c r="Y10" s="9"/>
    </row>
    <row r="11">
      <c r="A11" s="10" t="s">
        <v>78</v>
      </c>
      <c r="B11" s="11">
        <v>45535.0</v>
      </c>
      <c r="C11" s="10" t="s">
        <v>79</v>
      </c>
      <c r="D11" s="10" t="s">
        <v>80</v>
      </c>
      <c r="E11" s="10" t="s">
        <v>81</v>
      </c>
      <c r="F11" s="10" t="s">
        <v>51</v>
      </c>
      <c r="G11" s="10" t="s">
        <v>55</v>
      </c>
      <c r="H11" s="10" t="s">
        <v>56</v>
      </c>
      <c r="I11" s="10">
        <v>1.0</v>
      </c>
      <c r="J11" s="10">
        <v>1499.0</v>
      </c>
      <c r="K11" s="10">
        <v>0.15</v>
      </c>
      <c r="L11" s="10" t="s">
        <v>28</v>
      </c>
      <c r="M11" s="10" t="s">
        <v>29</v>
      </c>
      <c r="N11" s="10" t="s">
        <v>57</v>
      </c>
      <c r="O11" s="10" t="s">
        <v>41</v>
      </c>
      <c r="P11" s="10" t="s">
        <v>32</v>
      </c>
      <c r="Q11" s="10"/>
      <c r="R11" s="7">
        <f t="shared" si="1"/>
        <v>1496.7515</v>
      </c>
      <c r="S11" s="8">
        <f t="shared" si="2"/>
        <v>228.3180254</v>
      </c>
      <c r="T11" s="8">
        <f t="shared" si="3"/>
        <v>1496.7515</v>
      </c>
      <c r="U11" s="8" t="str">
        <f t="shared" si="4"/>
        <v>Q3</v>
      </c>
      <c r="V11" s="9"/>
      <c r="W11" s="9"/>
      <c r="X11" s="9"/>
      <c r="Y11" s="9"/>
    </row>
    <row r="12">
      <c r="A12" s="10" t="s">
        <v>82</v>
      </c>
      <c r="B12" s="11">
        <v>45816.0</v>
      </c>
      <c r="C12" s="10" t="s">
        <v>53</v>
      </c>
      <c r="D12" s="10" t="s">
        <v>23</v>
      </c>
      <c r="E12" s="10" t="s">
        <v>83</v>
      </c>
      <c r="F12" s="10" t="s">
        <v>54</v>
      </c>
      <c r="G12" s="10" t="s">
        <v>38</v>
      </c>
      <c r="H12" s="10" t="s">
        <v>39</v>
      </c>
      <c r="I12" s="10">
        <v>3.0</v>
      </c>
      <c r="J12" s="10">
        <v>4999.0</v>
      </c>
      <c r="K12" s="10">
        <v>0.15</v>
      </c>
      <c r="L12" s="10" t="s">
        <v>45</v>
      </c>
      <c r="M12" s="10" t="s">
        <v>29</v>
      </c>
      <c r="N12" s="10" t="s">
        <v>30</v>
      </c>
      <c r="O12" s="10" t="s">
        <v>41</v>
      </c>
      <c r="P12" s="10" t="s">
        <v>32</v>
      </c>
      <c r="Q12" s="10"/>
      <c r="R12" s="7">
        <f t="shared" si="1"/>
        <v>14974.5045</v>
      </c>
      <c r="S12" s="8">
        <f t="shared" si="2"/>
        <v>2695.41081</v>
      </c>
      <c r="T12" s="8">
        <f t="shared" si="3"/>
        <v>17669.91531</v>
      </c>
      <c r="U12" s="8" t="str">
        <f t="shared" si="4"/>
        <v>Q2</v>
      </c>
      <c r="V12" s="9"/>
      <c r="W12" s="9"/>
      <c r="X12" s="9"/>
      <c r="Y12" s="9"/>
    </row>
    <row r="13">
      <c r="A13" s="10" t="s">
        <v>84</v>
      </c>
      <c r="B13" s="11">
        <v>45808.0</v>
      </c>
      <c r="C13" s="10" t="s">
        <v>59</v>
      </c>
      <c r="D13" s="10" t="s">
        <v>35</v>
      </c>
      <c r="E13" s="10" t="s">
        <v>85</v>
      </c>
      <c r="F13" s="10" t="s">
        <v>86</v>
      </c>
      <c r="G13" s="10" t="s">
        <v>55</v>
      </c>
      <c r="H13" s="10" t="s">
        <v>56</v>
      </c>
      <c r="I13" s="10">
        <v>1.0</v>
      </c>
      <c r="J13" s="10">
        <v>1499.0</v>
      </c>
      <c r="K13" s="10">
        <v>10.0</v>
      </c>
      <c r="L13" s="10" t="s">
        <v>28</v>
      </c>
      <c r="M13" s="10" t="s">
        <v>29</v>
      </c>
      <c r="N13" s="10" t="s">
        <v>30</v>
      </c>
      <c r="O13" s="10" t="s">
        <v>67</v>
      </c>
      <c r="P13" s="10" t="s">
        <v>87</v>
      </c>
      <c r="Q13" s="10"/>
      <c r="R13" s="7">
        <f t="shared" si="1"/>
        <v>1349.1</v>
      </c>
      <c r="S13" s="8">
        <f t="shared" si="2"/>
        <v>205.7949153</v>
      </c>
      <c r="T13" s="8">
        <f t="shared" si="3"/>
        <v>1349.1</v>
      </c>
      <c r="U13" s="8" t="str">
        <f t="shared" si="4"/>
        <v>Q2</v>
      </c>
      <c r="V13" s="9"/>
      <c r="W13" s="9"/>
      <c r="X13" s="9"/>
      <c r="Y13" s="9"/>
    </row>
    <row r="14">
      <c r="A14" s="10" t="s">
        <v>88</v>
      </c>
      <c r="B14" s="11">
        <v>45755.0</v>
      </c>
      <c r="C14" s="10" t="s">
        <v>59</v>
      </c>
      <c r="D14" s="10" t="s">
        <v>80</v>
      </c>
      <c r="E14" s="10" t="s">
        <v>81</v>
      </c>
      <c r="F14" s="10" t="s">
        <v>37</v>
      </c>
      <c r="G14" s="10" t="s">
        <v>55</v>
      </c>
      <c r="H14" s="10" t="s">
        <v>56</v>
      </c>
      <c r="I14" s="10">
        <v>5.0</v>
      </c>
      <c r="J14" s="10">
        <v>1499.0</v>
      </c>
      <c r="K14" s="10">
        <v>0.0</v>
      </c>
      <c r="L14" s="10" t="s">
        <v>45</v>
      </c>
      <c r="M14" s="10" t="s">
        <v>29</v>
      </c>
      <c r="N14" s="10" t="s">
        <v>89</v>
      </c>
      <c r="O14" s="10" t="s">
        <v>31</v>
      </c>
      <c r="P14" s="10" t="s">
        <v>47</v>
      </c>
      <c r="Q14" s="10"/>
      <c r="R14" s="7">
        <f t="shared" si="1"/>
        <v>7495</v>
      </c>
      <c r="S14" s="8">
        <f t="shared" si="2"/>
        <v>1349.1</v>
      </c>
      <c r="T14" s="8">
        <f t="shared" si="3"/>
        <v>8844.1</v>
      </c>
      <c r="U14" s="8" t="str">
        <f t="shared" si="4"/>
        <v>Q2</v>
      </c>
      <c r="V14" s="9"/>
      <c r="W14" s="9"/>
      <c r="X14" s="9"/>
      <c r="Y14" s="9"/>
    </row>
    <row r="15">
      <c r="A15" s="10" t="s">
        <v>90</v>
      </c>
      <c r="B15" s="11">
        <v>45706.0</v>
      </c>
      <c r="C15" s="10" t="s">
        <v>91</v>
      </c>
      <c r="D15" s="10" t="s">
        <v>80</v>
      </c>
      <c r="E15" s="10" t="s">
        <v>92</v>
      </c>
      <c r="F15" s="10" t="s">
        <v>86</v>
      </c>
      <c r="G15" s="10" t="s">
        <v>93</v>
      </c>
      <c r="H15" s="10" t="s">
        <v>27</v>
      </c>
      <c r="I15" s="10">
        <v>1.0</v>
      </c>
      <c r="J15" s="10">
        <v>2999.0</v>
      </c>
      <c r="K15" s="10">
        <v>0.1</v>
      </c>
      <c r="L15" s="10" t="s">
        <v>28</v>
      </c>
      <c r="M15" s="10" t="s">
        <v>29</v>
      </c>
      <c r="N15" s="10" t="s">
        <v>94</v>
      </c>
      <c r="O15" s="10" t="s">
        <v>41</v>
      </c>
      <c r="P15" s="10" t="s">
        <v>77</v>
      </c>
      <c r="Q15" s="10"/>
      <c r="R15" s="7">
        <f t="shared" si="1"/>
        <v>2996.001</v>
      </c>
      <c r="S15" s="8">
        <f t="shared" si="2"/>
        <v>457.0171017</v>
      </c>
      <c r="T15" s="8">
        <f t="shared" si="3"/>
        <v>2996.001</v>
      </c>
      <c r="U15" s="8" t="str">
        <f t="shared" si="4"/>
        <v>Q1</v>
      </c>
      <c r="V15" s="9"/>
      <c r="W15" s="9"/>
      <c r="X15" s="9"/>
      <c r="Y15" s="9"/>
    </row>
    <row r="16">
      <c r="A16" s="10" t="s">
        <v>95</v>
      </c>
      <c r="B16" s="11">
        <v>45745.0</v>
      </c>
      <c r="C16" s="10" t="s">
        <v>96</v>
      </c>
      <c r="D16" s="10" t="s">
        <v>23</v>
      </c>
      <c r="E16" s="10" t="s">
        <v>24</v>
      </c>
      <c r="F16" s="10" t="s">
        <v>65</v>
      </c>
      <c r="G16" s="10" t="s">
        <v>93</v>
      </c>
      <c r="H16" s="10" t="s">
        <v>27</v>
      </c>
      <c r="I16" s="10">
        <v>1.0</v>
      </c>
      <c r="J16" s="10">
        <v>2999.0</v>
      </c>
      <c r="K16" s="10">
        <v>0.0</v>
      </c>
      <c r="L16" s="10" t="s">
        <v>28</v>
      </c>
      <c r="M16" s="10" t="s">
        <v>29</v>
      </c>
      <c r="N16" s="10" t="s">
        <v>30</v>
      </c>
      <c r="O16" s="10" t="s">
        <v>67</v>
      </c>
      <c r="P16" s="10" t="s">
        <v>87</v>
      </c>
      <c r="Q16" s="10"/>
      <c r="R16" s="7">
        <f t="shared" si="1"/>
        <v>2999</v>
      </c>
      <c r="S16" s="8">
        <f t="shared" si="2"/>
        <v>457.4745763</v>
      </c>
      <c r="T16" s="8">
        <f t="shared" si="3"/>
        <v>2999</v>
      </c>
      <c r="U16" s="8" t="str">
        <f t="shared" si="4"/>
        <v>Q1</v>
      </c>
      <c r="V16" s="9"/>
      <c r="W16" s="9"/>
      <c r="X16" s="9"/>
      <c r="Y16" s="9"/>
    </row>
    <row r="17">
      <c r="A17" s="10" t="s">
        <v>97</v>
      </c>
      <c r="B17" s="11">
        <v>45607.0</v>
      </c>
      <c r="C17" s="10" t="s">
        <v>98</v>
      </c>
      <c r="D17" s="10" t="s">
        <v>23</v>
      </c>
      <c r="E17" s="10" t="s">
        <v>99</v>
      </c>
      <c r="F17" s="10" t="s">
        <v>44</v>
      </c>
      <c r="G17" s="10" t="s">
        <v>66</v>
      </c>
      <c r="H17" s="10" t="s">
        <v>39</v>
      </c>
      <c r="I17" s="10">
        <v>5.0</v>
      </c>
      <c r="J17" s="10">
        <v>14999.0</v>
      </c>
      <c r="K17" s="10">
        <v>10.0</v>
      </c>
      <c r="L17" s="10" t="s">
        <v>45</v>
      </c>
      <c r="M17" s="10" t="s">
        <v>29</v>
      </c>
      <c r="N17" s="10" t="s">
        <v>57</v>
      </c>
      <c r="O17" s="10" t="s">
        <v>41</v>
      </c>
      <c r="P17" s="10" t="s">
        <v>32</v>
      </c>
      <c r="Q17" s="10"/>
      <c r="R17" s="7">
        <f t="shared" si="1"/>
        <v>67495.5</v>
      </c>
      <c r="S17" s="8">
        <f t="shared" si="2"/>
        <v>12149.19</v>
      </c>
      <c r="T17" s="8">
        <f t="shared" si="3"/>
        <v>79644.69</v>
      </c>
      <c r="U17" s="8" t="str">
        <f t="shared" si="4"/>
        <v>Q4</v>
      </c>
      <c r="V17" s="9"/>
      <c r="W17" s="9"/>
      <c r="X17" s="9"/>
      <c r="Y17" s="9"/>
    </row>
    <row r="18">
      <c r="A18" s="10" t="s">
        <v>100</v>
      </c>
      <c r="B18" s="11">
        <v>45652.0</v>
      </c>
      <c r="C18" s="10" t="s">
        <v>101</v>
      </c>
      <c r="D18" s="10" t="s">
        <v>60</v>
      </c>
      <c r="E18" s="10" t="s">
        <v>102</v>
      </c>
      <c r="F18" s="10" t="s">
        <v>103</v>
      </c>
      <c r="G18" s="10" t="s">
        <v>93</v>
      </c>
      <c r="H18" s="10" t="s">
        <v>27</v>
      </c>
      <c r="I18" s="10">
        <v>1.0</v>
      </c>
      <c r="J18" s="10">
        <v>2999.0</v>
      </c>
      <c r="K18" s="10">
        <v>10.0</v>
      </c>
      <c r="L18" s="10" t="s">
        <v>28</v>
      </c>
      <c r="M18" s="10" t="s">
        <v>29</v>
      </c>
      <c r="N18" s="10" t="s">
        <v>40</v>
      </c>
      <c r="O18" s="10" t="s">
        <v>41</v>
      </c>
      <c r="P18" s="10" t="s">
        <v>32</v>
      </c>
      <c r="Q18" s="11">
        <v>46017.0</v>
      </c>
      <c r="R18" s="7">
        <f t="shared" si="1"/>
        <v>2699.1</v>
      </c>
      <c r="S18" s="8">
        <f t="shared" si="2"/>
        <v>411.7271186</v>
      </c>
      <c r="T18" s="8">
        <f t="shared" si="3"/>
        <v>2699.1</v>
      </c>
      <c r="U18" s="8" t="str">
        <f t="shared" si="4"/>
        <v>Q4</v>
      </c>
      <c r="V18" s="9"/>
      <c r="W18" s="9"/>
      <c r="X18" s="9"/>
      <c r="Y18" s="9"/>
    </row>
    <row r="19">
      <c r="A19" s="10" t="s">
        <v>104</v>
      </c>
      <c r="B19" s="11">
        <v>45553.0</v>
      </c>
      <c r="C19" s="10" t="s">
        <v>105</v>
      </c>
      <c r="D19" s="10" t="s">
        <v>23</v>
      </c>
      <c r="E19" s="10" t="s">
        <v>73</v>
      </c>
      <c r="F19" s="10" t="s">
        <v>65</v>
      </c>
      <c r="G19" s="10" t="s">
        <v>106</v>
      </c>
      <c r="H19" s="10" t="s">
        <v>27</v>
      </c>
      <c r="I19" s="10">
        <v>1.0</v>
      </c>
      <c r="J19" s="10">
        <v>999.0</v>
      </c>
      <c r="K19" s="10">
        <v>10.0</v>
      </c>
      <c r="L19" s="10" t="s">
        <v>45</v>
      </c>
      <c r="M19" s="10" t="s">
        <v>29</v>
      </c>
      <c r="N19" s="10" t="s">
        <v>57</v>
      </c>
      <c r="O19" s="10" t="s">
        <v>41</v>
      </c>
      <c r="P19" s="10" t="s">
        <v>32</v>
      </c>
      <c r="Q19" s="11">
        <v>45583.0</v>
      </c>
      <c r="R19" s="7">
        <f t="shared" si="1"/>
        <v>899.1</v>
      </c>
      <c r="S19" s="8">
        <f t="shared" si="2"/>
        <v>161.838</v>
      </c>
      <c r="T19" s="8">
        <f t="shared" si="3"/>
        <v>1060.938</v>
      </c>
      <c r="U19" s="8" t="str">
        <f t="shared" si="4"/>
        <v>Q3</v>
      </c>
      <c r="V19" s="9"/>
      <c r="W19" s="9"/>
      <c r="X19" s="9"/>
      <c r="Y19" s="9"/>
    </row>
    <row r="20">
      <c r="A20" s="10" t="s">
        <v>107</v>
      </c>
      <c r="B20" s="11">
        <v>45608.0</v>
      </c>
      <c r="C20" s="10" t="s">
        <v>59</v>
      </c>
      <c r="D20" s="10" t="s">
        <v>35</v>
      </c>
      <c r="E20" s="10" t="s">
        <v>36</v>
      </c>
      <c r="F20" s="10" t="s">
        <v>51</v>
      </c>
      <c r="G20" s="10" t="s">
        <v>93</v>
      </c>
      <c r="H20" s="10" t="s">
        <v>27</v>
      </c>
      <c r="I20" s="10">
        <v>1.0</v>
      </c>
      <c r="J20" s="10">
        <v>2999.0</v>
      </c>
      <c r="K20" s="10">
        <v>15.0</v>
      </c>
      <c r="L20" s="10" t="s">
        <v>28</v>
      </c>
      <c r="M20" s="10" t="s">
        <v>29</v>
      </c>
      <c r="N20" s="10" t="s">
        <v>70</v>
      </c>
      <c r="O20" s="10" t="s">
        <v>46</v>
      </c>
      <c r="P20" s="10" t="s">
        <v>32</v>
      </c>
      <c r="Q20" s="11">
        <v>45973.0</v>
      </c>
      <c r="R20" s="7">
        <f t="shared" si="1"/>
        <v>2549.15</v>
      </c>
      <c r="S20" s="8">
        <f t="shared" si="2"/>
        <v>388.8533898</v>
      </c>
      <c r="T20" s="8">
        <f t="shared" si="3"/>
        <v>2549.15</v>
      </c>
      <c r="U20" s="8" t="str">
        <f t="shared" si="4"/>
        <v>Q4</v>
      </c>
      <c r="V20" s="9"/>
      <c r="W20" s="9"/>
      <c r="X20" s="9"/>
      <c r="Y20" s="9"/>
    </row>
    <row r="21">
      <c r="A21" s="10" t="s">
        <v>108</v>
      </c>
      <c r="B21" s="11">
        <v>45494.0</v>
      </c>
      <c r="C21" s="10" t="s">
        <v>109</v>
      </c>
      <c r="D21" s="10" t="s">
        <v>60</v>
      </c>
      <c r="E21" s="10" t="s">
        <v>110</v>
      </c>
      <c r="F21" s="10" t="s">
        <v>51</v>
      </c>
      <c r="G21" s="10" t="s">
        <v>93</v>
      </c>
      <c r="H21" s="10" t="s">
        <v>27</v>
      </c>
      <c r="I21" s="10">
        <v>1.0</v>
      </c>
      <c r="J21" s="10">
        <v>2999.0</v>
      </c>
      <c r="K21" s="10">
        <v>5.0</v>
      </c>
      <c r="L21" s="10" t="s">
        <v>45</v>
      </c>
      <c r="M21" s="10" t="s">
        <v>29</v>
      </c>
      <c r="N21" s="10" t="s">
        <v>40</v>
      </c>
      <c r="O21" s="10" t="s">
        <v>67</v>
      </c>
      <c r="P21" s="10" t="s">
        <v>77</v>
      </c>
      <c r="Q21" s="10"/>
      <c r="R21" s="7">
        <f t="shared" si="1"/>
        <v>2849.05</v>
      </c>
      <c r="S21" s="8">
        <f t="shared" si="2"/>
        <v>512.829</v>
      </c>
      <c r="T21" s="8">
        <f t="shared" si="3"/>
        <v>3361.879</v>
      </c>
      <c r="U21" s="8" t="str">
        <f t="shared" si="4"/>
        <v>Q3</v>
      </c>
      <c r="V21" s="9"/>
      <c r="W21" s="9"/>
      <c r="X21" s="9"/>
      <c r="Y21" s="9"/>
    </row>
    <row r="22">
      <c r="A22" s="10" t="s">
        <v>111</v>
      </c>
      <c r="B22" s="11">
        <v>45684.0</v>
      </c>
      <c r="C22" s="10" t="s">
        <v>72</v>
      </c>
      <c r="D22" s="10" t="s">
        <v>80</v>
      </c>
      <c r="E22" s="10" t="s">
        <v>112</v>
      </c>
      <c r="F22" s="10" t="s">
        <v>113</v>
      </c>
      <c r="G22" s="10" t="s">
        <v>55</v>
      </c>
      <c r="H22" s="10" t="s">
        <v>56</v>
      </c>
      <c r="I22" s="10">
        <v>5.0</v>
      </c>
      <c r="J22" s="10">
        <v>1499.0</v>
      </c>
      <c r="K22" s="10">
        <v>10.0</v>
      </c>
      <c r="L22" s="10" t="s">
        <v>28</v>
      </c>
      <c r="M22" s="10" t="s">
        <v>29</v>
      </c>
      <c r="N22" s="10" t="s">
        <v>114</v>
      </c>
      <c r="O22" s="10" t="s">
        <v>67</v>
      </c>
      <c r="P22" s="10" t="s">
        <v>32</v>
      </c>
      <c r="Q22" s="10"/>
      <c r="R22" s="7">
        <f t="shared" si="1"/>
        <v>6745.5</v>
      </c>
      <c r="S22" s="8">
        <f t="shared" si="2"/>
        <v>1028.974576</v>
      </c>
      <c r="T22" s="8">
        <f t="shared" si="3"/>
        <v>6745.5</v>
      </c>
      <c r="U22" s="8" t="str">
        <f t="shared" si="4"/>
        <v>Q1</v>
      </c>
      <c r="V22" s="9"/>
      <c r="W22" s="9"/>
      <c r="X22" s="9"/>
      <c r="Y22" s="9"/>
    </row>
    <row r="23">
      <c r="A23" s="10" t="s">
        <v>115</v>
      </c>
      <c r="B23" s="11">
        <v>45678.0</v>
      </c>
      <c r="C23" s="10" t="s">
        <v>116</v>
      </c>
      <c r="D23" s="10" t="s">
        <v>60</v>
      </c>
      <c r="E23" s="10" t="s">
        <v>61</v>
      </c>
      <c r="F23" s="10" t="s">
        <v>117</v>
      </c>
      <c r="G23" s="10" t="s">
        <v>106</v>
      </c>
      <c r="H23" s="10" t="s">
        <v>27</v>
      </c>
      <c r="I23" s="10">
        <v>1.0</v>
      </c>
      <c r="J23" s="10">
        <v>999.0</v>
      </c>
      <c r="K23" s="10">
        <v>10.0</v>
      </c>
      <c r="L23" s="10" t="s">
        <v>45</v>
      </c>
      <c r="M23" s="10" t="s">
        <v>29</v>
      </c>
      <c r="N23" s="10" t="s">
        <v>57</v>
      </c>
      <c r="O23" s="10" t="s">
        <v>41</v>
      </c>
      <c r="P23" s="10" t="s">
        <v>32</v>
      </c>
      <c r="Q23" s="11">
        <v>45708.0</v>
      </c>
      <c r="R23" s="7">
        <f t="shared" si="1"/>
        <v>899.1</v>
      </c>
      <c r="S23" s="8">
        <f t="shared" si="2"/>
        <v>161.838</v>
      </c>
      <c r="T23" s="8">
        <f t="shared" si="3"/>
        <v>1060.938</v>
      </c>
      <c r="U23" s="8" t="str">
        <f t="shared" si="4"/>
        <v>Q1</v>
      </c>
      <c r="V23" s="9"/>
      <c r="W23" s="9"/>
      <c r="X23" s="9"/>
      <c r="Y23" s="9"/>
    </row>
    <row r="24">
      <c r="A24" s="10" t="s">
        <v>118</v>
      </c>
      <c r="B24" s="11">
        <v>45634.0</v>
      </c>
      <c r="C24" s="10" t="s">
        <v>119</v>
      </c>
      <c r="D24" s="10" t="s">
        <v>80</v>
      </c>
      <c r="E24" s="10" t="s">
        <v>81</v>
      </c>
      <c r="F24" s="10" t="s">
        <v>65</v>
      </c>
      <c r="G24" s="10" t="s">
        <v>93</v>
      </c>
      <c r="H24" s="10" t="s">
        <v>27</v>
      </c>
      <c r="I24" s="10">
        <v>1.0</v>
      </c>
      <c r="J24" s="10">
        <v>2999.0</v>
      </c>
      <c r="K24" s="10">
        <v>0.0</v>
      </c>
      <c r="L24" s="10" t="s">
        <v>28</v>
      </c>
      <c r="M24" s="10" t="s">
        <v>29</v>
      </c>
      <c r="N24" s="10" t="s">
        <v>76</v>
      </c>
      <c r="O24" s="10" t="s">
        <v>41</v>
      </c>
      <c r="P24" s="10" t="s">
        <v>32</v>
      </c>
      <c r="Q24" s="11">
        <v>45999.0</v>
      </c>
      <c r="R24" s="7">
        <f t="shared" si="1"/>
        <v>2999</v>
      </c>
      <c r="S24" s="8">
        <f t="shared" si="2"/>
        <v>457.4745763</v>
      </c>
      <c r="T24" s="8">
        <f t="shared" si="3"/>
        <v>2999</v>
      </c>
      <c r="U24" s="8" t="str">
        <f t="shared" si="4"/>
        <v>Q4</v>
      </c>
      <c r="V24" s="9"/>
      <c r="W24" s="9"/>
      <c r="X24" s="9"/>
      <c r="Y24" s="9"/>
    </row>
    <row r="25">
      <c r="A25" s="10" t="s">
        <v>120</v>
      </c>
      <c r="B25" s="11">
        <v>45793.0</v>
      </c>
      <c r="C25" s="10" t="s">
        <v>96</v>
      </c>
      <c r="D25" s="10" t="s">
        <v>80</v>
      </c>
      <c r="E25" s="10" t="s">
        <v>81</v>
      </c>
      <c r="F25" s="10" t="s">
        <v>65</v>
      </c>
      <c r="G25" s="10" t="s">
        <v>55</v>
      </c>
      <c r="H25" s="10" t="s">
        <v>56</v>
      </c>
      <c r="I25" s="10">
        <v>1.0</v>
      </c>
      <c r="J25" s="10">
        <v>1499.0</v>
      </c>
      <c r="K25" s="10">
        <v>10.0</v>
      </c>
      <c r="L25" s="10" t="s">
        <v>45</v>
      </c>
      <c r="M25" s="10" t="s">
        <v>29</v>
      </c>
      <c r="N25" s="10" t="s">
        <v>57</v>
      </c>
      <c r="O25" s="10" t="s">
        <v>67</v>
      </c>
      <c r="P25" s="10" t="s">
        <v>32</v>
      </c>
      <c r="Q25" s="10"/>
      <c r="R25" s="7">
        <f t="shared" si="1"/>
        <v>1349.1</v>
      </c>
      <c r="S25" s="8">
        <f t="shared" si="2"/>
        <v>242.838</v>
      </c>
      <c r="T25" s="8">
        <f t="shared" si="3"/>
        <v>1591.938</v>
      </c>
      <c r="U25" s="8" t="str">
        <f t="shared" si="4"/>
        <v>Q2</v>
      </c>
      <c r="V25" s="9"/>
      <c r="W25" s="9"/>
      <c r="X25" s="9"/>
      <c r="Y25" s="9"/>
    </row>
    <row r="26">
      <c r="A26" s="10" t="s">
        <v>121</v>
      </c>
      <c r="B26" s="11">
        <v>45754.0</v>
      </c>
      <c r="C26" s="10" t="s">
        <v>116</v>
      </c>
      <c r="D26" s="10" t="s">
        <v>60</v>
      </c>
      <c r="E26" s="10" t="s">
        <v>122</v>
      </c>
      <c r="F26" s="10" t="s">
        <v>37</v>
      </c>
      <c r="G26" s="10" t="s">
        <v>66</v>
      </c>
      <c r="H26" s="10" t="s">
        <v>39</v>
      </c>
      <c r="I26" s="10">
        <v>1.0</v>
      </c>
      <c r="J26" s="10">
        <v>14999.0</v>
      </c>
      <c r="K26" s="10">
        <v>15.0</v>
      </c>
      <c r="L26" s="10" t="s">
        <v>45</v>
      </c>
      <c r="M26" s="10" t="s">
        <v>29</v>
      </c>
      <c r="N26" s="10" t="s">
        <v>57</v>
      </c>
      <c r="O26" s="10" t="s">
        <v>67</v>
      </c>
      <c r="P26" s="10" t="s">
        <v>62</v>
      </c>
      <c r="Q26" s="10"/>
      <c r="R26" s="7">
        <f t="shared" si="1"/>
        <v>12749.15</v>
      </c>
      <c r="S26" s="8">
        <f t="shared" si="2"/>
        <v>2294.847</v>
      </c>
      <c r="T26" s="8">
        <f t="shared" si="3"/>
        <v>15043.997</v>
      </c>
      <c r="U26" s="8" t="str">
        <f t="shared" si="4"/>
        <v>Q2</v>
      </c>
      <c r="V26" s="9"/>
      <c r="W26" s="9"/>
      <c r="X26" s="9"/>
      <c r="Y26" s="9"/>
    </row>
    <row r="27">
      <c r="A27" s="10" t="s">
        <v>123</v>
      </c>
      <c r="B27" s="11">
        <v>45791.0</v>
      </c>
      <c r="C27" s="10" t="s">
        <v>69</v>
      </c>
      <c r="D27" s="10" t="s">
        <v>60</v>
      </c>
      <c r="E27" s="10" t="s">
        <v>110</v>
      </c>
      <c r="F27" s="10" t="s">
        <v>65</v>
      </c>
      <c r="G27" s="10" t="s">
        <v>66</v>
      </c>
      <c r="H27" s="10" t="s">
        <v>39</v>
      </c>
      <c r="I27" s="10">
        <v>1.0</v>
      </c>
      <c r="J27" s="10">
        <v>14999.0</v>
      </c>
      <c r="K27" s="10">
        <v>5.0</v>
      </c>
      <c r="L27" s="10" t="s">
        <v>28</v>
      </c>
      <c r="M27" s="10" t="s">
        <v>29</v>
      </c>
      <c r="N27" s="10" t="s">
        <v>70</v>
      </c>
      <c r="O27" s="10" t="s">
        <v>41</v>
      </c>
      <c r="P27" s="10" t="s">
        <v>87</v>
      </c>
      <c r="Q27" s="10"/>
      <c r="R27" s="7">
        <f t="shared" si="1"/>
        <v>14249.05</v>
      </c>
      <c r="S27" s="8">
        <f t="shared" si="2"/>
        <v>2173.583898</v>
      </c>
      <c r="T27" s="8">
        <f t="shared" si="3"/>
        <v>14249.05</v>
      </c>
      <c r="U27" s="8" t="str">
        <f t="shared" si="4"/>
        <v>Q2</v>
      </c>
      <c r="V27" s="9"/>
      <c r="W27" s="9"/>
      <c r="X27" s="9"/>
      <c r="Y27" s="9"/>
    </row>
    <row r="28">
      <c r="A28" s="10" t="s">
        <v>124</v>
      </c>
      <c r="B28" s="11">
        <v>45809.0</v>
      </c>
      <c r="C28" s="10" t="s">
        <v>125</v>
      </c>
      <c r="D28" s="10" t="s">
        <v>60</v>
      </c>
      <c r="E28" s="10" t="s">
        <v>110</v>
      </c>
      <c r="F28" s="10" t="s">
        <v>86</v>
      </c>
      <c r="G28" s="10" t="s">
        <v>66</v>
      </c>
      <c r="H28" s="10" t="s">
        <v>39</v>
      </c>
      <c r="I28" s="10">
        <v>1.0</v>
      </c>
      <c r="J28" s="10">
        <v>14999.0</v>
      </c>
      <c r="K28" s="10">
        <v>5.0</v>
      </c>
      <c r="L28" s="10" t="s">
        <v>28</v>
      </c>
      <c r="M28" s="10" t="s">
        <v>29</v>
      </c>
      <c r="N28" s="10" t="s">
        <v>57</v>
      </c>
      <c r="O28" s="10" t="s">
        <v>41</v>
      </c>
      <c r="P28" s="10" t="s">
        <v>32</v>
      </c>
      <c r="Q28" s="10"/>
      <c r="R28" s="7">
        <f t="shared" si="1"/>
        <v>14249.05</v>
      </c>
      <c r="S28" s="8">
        <f t="shared" si="2"/>
        <v>2173.583898</v>
      </c>
      <c r="T28" s="8">
        <f t="shared" si="3"/>
        <v>14249.05</v>
      </c>
      <c r="U28" s="8" t="str">
        <f t="shared" si="4"/>
        <v>Q2</v>
      </c>
      <c r="V28" s="9"/>
      <c r="W28" s="9"/>
      <c r="X28" s="9"/>
      <c r="Y28" s="9"/>
    </row>
    <row r="29">
      <c r="A29" s="10" t="s">
        <v>126</v>
      </c>
      <c r="B29" s="11">
        <v>45700.0</v>
      </c>
      <c r="C29" s="10" t="s">
        <v>125</v>
      </c>
      <c r="D29" s="10" t="s">
        <v>80</v>
      </c>
      <c r="E29" s="10" t="s">
        <v>92</v>
      </c>
      <c r="F29" s="10" t="s">
        <v>44</v>
      </c>
      <c r="G29" s="10" t="s">
        <v>66</v>
      </c>
      <c r="H29" s="10" t="s">
        <v>39</v>
      </c>
      <c r="I29" s="10">
        <v>5.0</v>
      </c>
      <c r="J29" s="10">
        <v>14999.0</v>
      </c>
      <c r="K29" s="10">
        <v>15.0</v>
      </c>
      <c r="L29" s="10" t="s">
        <v>28</v>
      </c>
      <c r="M29" s="10" t="s">
        <v>29</v>
      </c>
      <c r="N29" s="10" t="s">
        <v>57</v>
      </c>
      <c r="O29" s="10" t="s">
        <v>31</v>
      </c>
      <c r="P29" s="10" t="s">
        <v>87</v>
      </c>
      <c r="Q29" s="10"/>
      <c r="R29" s="7">
        <f t="shared" si="1"/>
        <v>63745.75</v>
      </c>
      <c r="S29" s="8">
        <f t="shared" si="2"/>
        <v>9723.927966</v>
      </c>
      <c r="T29" s="8">
        <f t="shared" si="3"/>
        <v>63745.75</v>
      </c>
      <c r="U29" s="8" t="str">
        <f t="shared" si="4"/>
        <v>Q1</v>
      </c>
      <c r="V29" s="9"/>
      <c r="W29" s="9"/>
      <c r="X29" s="9"/>
      <c r="Y29" s="9"/>
    </row>
    <row r="30">
      <c r="A30" s="10" t="s">
        <v>127</v>
      </c>
      <c r="B30" s="11">
        <v>45794.0</v>
      </c>
      <c r="C30" s="10" t="s">
        <v>34</v>
      </c>
      <c r="D30" s="10" t="s">
        <v>35</v>
      </c>
      <c r="E30" s="10" t="s">
        <v>128</v>
      </c>
      <c r="F30" s="10" t="s">
        <v>51</v>
      </c>
      <c r="G30" s="10" t="s">
        <v>38</v>
      </c>
      <c r="H30" s="10" t="s">
        <v>39</v>
      </c>
      <c r="I30" s="10">
        <v>2.0</v>
      </c>
      <c r="J30" s="10">
        <v>4999.0</v>
      </c>
      <c r="K30" s="10">
        <v>10.0</v>
      </c>
      <c r="L30" s="10" t="s">
        <v>45</v>
      </c>
      <c r="M30" s="10" t="s">
        <v>29</v>
      </c>
      <c r="N30" s="10" t="s">
        <v>40</v>
      </c>
      <c r="O30" s="10" t="s">
        <v>67</v>
      </c>
      <c r="P30" s="10" t="s">
        <v>32</v>
      </c>
      <c r="Q30" s="10"/>
      <c r="R30" s="7">
        <f t="shared" si="1"/>
        <v>8998.2</v>
      </c>
      <c r="S30" s="8">
        <f t="shared" si="2"/>
        <v>1619.676</v>
      </c>
      <c r="T30" s="8">
        <f t="shared" si="3"/>
        <v>10617.876</v>
      </c>
      <c r="U30" s="8" t="str">
        <f t="shared" si="4"/>
        <v>Q2</v>
      </c>
      <c r="V30" s="9"/>
      <c r="W30" s="9"/>
      <c r="X30" s="9"/>
      <c r="Y30" s="9"/>
    </row>
    <row r="31">
      <c r="A31" s="10" t="s">
        <v>129</v>
      </c>
      <c r="B31" s="11">
        <v>45751.0</v>
      </c>
      <c r="C31" s="10" t="s">
        <v>53</v>
      </c>
      <c r="D31" s="10" t="s">
        <v>60</v>
      </c>
      <c r="E31" s="10" t="s">
        <v>110</v>
      </c>
      <c r="F31" s="10" t="s">
        <v>25</v>
      </c>
      <c r="G31" s="10" t="s">
        <v>66</v>
      </c>
      <c r="H31" s="10" t="s">
        <v>39</v>
      </c>
      <c r="I31" s="10">
        <v>1.0</v>
      </c>
      <c r="J31" s="10">
        <v>14999.0</v>
      </c>
      <c r="K31" s="10">
        <v>15.0</v>
      </c>
      <c r="L31" s="10" t="s">
        <v>28</v>
      </c>
      <c r="M31" s="10" t="s">
        <v>29</v>
      </c>
      <c r="N31" s="10" t="s">
        <v>57</v>
      </c>
      <c r="O31" s="10" t="s">
        <v>31</v>
      </c>
      <c r="P31" s="10" t="s">
        <v>32</v>
      </c>
      <c r="Q31" s="10"/>
      <c r="R31" s="7">
        <f t="shared" si="1"/>
        <v>12749.15</v>
      </c>
      <c r="S31" s="8">
        <f t="shared" si="2"/>
        <v>1944.785593</v>
      </c>
      <c r="T31" s="8">
        <f t="shared" si="3"/>
        <v>12749.15</v>
      </c>
      <c r="U31" s="8" t="str">
        <f t="shared" si="4"/>
        <v>Q2</v>
      </c>
      <c r="V31" s="9"/>
      <c r="W31" s="9"/>
      <c r="X31" s="9"/>
      <c r="Y31" s="9"/>
    </row>
    <row r="32">
      <c r="A32" s="10" t="s">
        <v>130</v>
      </c>
      <c r="B32" s="11">
        <v>45688.0</v>
      </c>
      <c r="C32" s="10" t="s">
        <v>131</v>
      </c>
      <c r="D32" s="10" t="s">
        <v>23</v>
      </c>
      <c r="E32" s="10" t="s">
        <v>24</v>
      </c>
      <c r="F32" s="10" t="s">
        <v>86</v>
      </c>
      <c r="G32" s="10" t="s">
        <v>106</v>
      </c>
      <c r="H32" s="10" t="s">
        <v>27</v>
      </c>
      <c r="I32" s="10">
        <v>1.0</v>
      </c>
      <c r="J32" s="10">
        <v>999.0</v>
      </c>
      <c r="K32" s="10">
        <v>0.15</v>
      </c>
      <c r="L32" s="10" t="s">
        <v>45</v>
      </c>
      <c r="M32" s="10" t="s">
        <v>29</v>
      </c>
      <c r="N32" s="10" t="s">
        <v>40</v>
      </c>
      <c r="O32" s="10" t="s">
        <v>31</v>
      </c>
      <c r="P32" s="10" t="s">
        <v>87</v>
      </c>
      <c r="Q32" s="10"/>
      <c r="R32" s="7">
        <f t="shared" si="1"/>
        <v>997.5015</v>
      </c>
      <c r="S32" s="8">
        <f t="shared" si="2"/>
        <v>179.55027</v>
      </c>
      <c r="T32" s="8">
        <f t="shared" si="3"/>
        <v>1177.05177</v>
      </c>
      <c r="U32" s="8" t="str">
        <f t="shared" si="4"/>
        <v>Q1</v>
      </c>
      <c r="V32" s="9"/>
      <c r="W32" s="9"/>
      <c r="X32" s="9"/>
      <c r="Y32" s="9"/>
    </row>
    <row r="33">
      <c r="A33" s="10" t="s">
        <v>132</v>
      </c>
      <c r="B33" s="10" t="s">
        <v>133</v>
      </c>
      <c r="C33" s="10" t="s">
        <v>134</v>
      </c>
      <c r="D33" s="10" t="s">
        <v>60</v>
      </c>
      <c r="E33" s="10" t="s">
        <v>110</v>
      </c>
      <c r="F33" s="10" t="s">
        <v>86</v>
      </c>
      <c r="G33" s="10" t="s">
        <v>38</v>
      </c>
      <c r="H33" s="10" t="s">
        <v>39</v>
      </c>
      <c r="I33" s="10">
        <v>2.0</v>
      </c>
      <c r="J33" s="10">
        <v>4999.0</v>
      </c>
      <c r="K33" s="10">
        <v>0.0</v>
      </c>
      <c r="L33" s="10" t="s">
        <v>45</v>
      </c>
      <c r="M33" s="10" t="s">
        <v>29</v>
      </c>
      <c r="N33" s="10" t="s">
        <v>94</v>
      </c>
      <c r="O33" s="10" t="s">
        <v>46</v>
      </c>
      <c r="P33" s="10" t="s">
        <v>32</v>
      </c>
      <c r="Q33" s="10"/>
      <c r="R33" s="7">
        <f t="shared" si="1"/>
        <v>9998</v>
      </c>
      <c r="S33" s="8">
        <f t="shared" si="2"/>
        <v>1799.64</v>
      </c>
      <c r="T33" s="8">
        <f t="shared" si="3"/>
        <v>11797.64</v>
      </c>
      <c r="U33" s="8" t="str">
        <f t="shared" si="4"/>
        <v>Q1</v>
      </c>
      <c r="V33" s="9"/>
      <c r="W33" s="9"/>
      <c r="X33" s="9"/>
      <c r="Y33" s="9"/>
    </row>
    <row r="34">
      <c r="A34" s="10" t="s">
        <v>135</v>
      </c>
      <c r="B34" s="11">
        <v>45616.0</v>
      </c>
      <c r="C34" s="10" t="s">
        <v>43</v>
      </c>
      <c r="D34" s="10" t="s">
        <v>35</v>
      </c>
      <c r="E34" s="10" t="s">
        <v>128</v>
      </c>
      <c r="F34" s="10" t="s">
        <v>51</v>
      </c>
      <c r="G34" s="10" t="s">
        <v>55</v>
      </c>
      <c r="H34" s="10" t="s">
        <v>56</v>
      </c>
      <c r="I34" s="10">
        <v>2.0</v>
      </c>
      <c r="J34" s="10">
        <v>1499.0</v>
      </c>
      <c r="K34" s="10">
        <v>0.0</v>
      </c>
      <c r="L34" s="10" t="s">
        <v>28</v>
      </c>
      <c r="M34" s="10" t="s">
        <v>29</v>
      </c>
      <c r="N34" s="10" t="s">
        <v>57</v>
      </c>
      <c r="O34" s="10" t="s">
        <v>41</v>
      </c>
      <c r="P34" s="10" t="s">
        <v>32</v>
      </c>
      <c r="Q34" s="10"/>
      <c r="R34" s="7">
        <f t="shared" si="1"/>
        <v>2998</v>
      </c>
      <c r="S34" s="8">
        <f t="shared" si="2"/>
        <v>457.3220339</v>
      </c>
      <c r="T34" s="8">
        <f t="shared" si="3"/>
        <v>2998</v>
      </c>
      <c r="U34" s="8" t="str">
        <f t="shared" si="4"/>
        <v>Q4</v>
      </c>
      <c r="V34" s="9"/>
      <c r="W34" s="9"/>
      <c r="X34" s="9"/>
      <c r="Y34" s="9"/>
    </row>
    <row r="35">
      <c r="A35" s="10" t="s">
        <v>136</v>
      </c>
      <c r="B35" s="11">
        <v>45716.0</v>
      </c>
      <c r="C35" s="10" t="s">
        <v>98</v>
      </c>
      <c r="D35" s="10" t="s">
        <v>23</v>
      </c>
      <c r="E35" s="10" t="s">
        <v>73</v>
      </c>
      <c r="F35" s="10" t="s">
        <v>65</v>
      </c>
      <c r="G35" s="10" t="s">
        <v>26</v>
      </c>
      <c r="H35" s="10" t="s">
        <v>27</v>
      </c>
      <c r="I35" s="10">
        <v>1.0</v>
      </c>
      <c r="J35" s="10">
        <v>9999.0</v>
      </c>
      <c r="K35" s="10">
        <v>5.0</v>
      </c>
      <c r="L35" s="10" t="s">
        <v>28</v>
      </c>
      <c r="M35" s="10" t="s">
        <v>29</v>
      </c>
      <c r="N35" s="10" t="s">
        <v>40</v>
      </c>
      <c r="O35" s="10" t="s">
        <v>41</v>
      </c>
      <c r="P35" s="10" t="s">
        <v>32</v>
      </c>
      <c r="Q35" s="11">
        <v>45746.0</v>
      </c>
      <c r="R35" s="7">
        <f t="shared" si="1"/>
        <v>9499.05</v>
      </c>
      <c r="S35" s="8">
        <f t="shared" si="2"/>
        <v>1449.007627</v>
      </c>
      <c r="T35" s="8">
        <f t="shared" si="3"/>
        <v>9499.05</v>
      </c>
      <c r="U35" s="8" t="str">
        <f t="shared" si="4"/>
        <v>Q1</v>
      </c>
      <c r="V35" s="9"/>
      <c r="W35" s="9"/>
      <c r="X35" s="9"/>
      <c r="Y35" s="9"/>
    </row>
    <row r="36">
      <c r="A36" s="10" t="s">
        <v>137</v>
      </c>
      <c r="B36" s="11">
        <v>45677.0</v>
      </c>
      <c r="C36" s="10" t="s">
        <v>105</v>
      </c>
      <c r="D36" s="10" t="s">
        <v>23</v>
      </c>
      <c r="E36" s="10" t="s">
        <v>83</v>
      </c>
      <c r="F36" s="10" t="s">
        <v>44</v>
      </c>
      <c r="G36" s="10" t="s">
        <v>106</v>
      </c>
      <c r="H36" s="10" t="s">
        <v>27</v>
      </c>
      <c r="I36" s="10">
        <v>1.0</v>
      </c>
      <c r="J36" s="10">
        <v>999.0</v>
      </c>
      <c r="K36" s="10">
        <v>0.15</v>
      </c>
      <c r="L36" s="10" t="s">
        <v>28</v>
      </c>
      <c r="M36" s="10" t="s">
        <v>29</v>
      </c>
      <c r="N36" s="10" t="s">
        <v>57</v>
      </c>
      <c r="O36" s="10" t="s">
        <v>41</v>
      </c>
      <c r="P36" s="10" t="s">
        <v>77</v>
      </c>
      <c r="Q36" s="10"/>
      <c r="R36" s="7">
        <f t="shared" si="1"/>
        <v>997.5015</v>
      </c>
      <c r="S36" s="8">
        <f t="shared" si="2"/>
        <v>152.1612458</v>
      </c>
      <c r="T36" s="8">
        <f t="shared" si="3"/>
        <v>997.5015</v>
      </c>
      <c r="U36" s="8" t="str">
        <f t="shared" si="4"/>
        <v>Q1</v>
      </c>
      <c r="V36" s="9"/>
      <c r="W36" s="9"/>
      <c r="X36" s="9"/>
      <c r="Y36" s="9"/>
    </row>
    <row r="37">
      <c r="A37" s="10" t="s">
        <v>138</v>
      </c>
      <c r="B37" s="11">
        <v>45480.0</v>
      </c>
      <c r="C37" s="10" t="s">
        <v>98</v>
      </c>
      <c r="D37" s="10" t="s">
        <v>35</v>
      </c>
      <c r="E37" s="10" t="s">
        <v>85</v>
      </c>
      <c r="F37" s="10" t="s">
        <v>54</v>
      </c>
      <c r="G37" s="10" t="s">
        <v>66</v>
      </c>
      <c r="H37" s="10" t="s">
        <v>39</v>
      </c>
      <c r="I37" s="10">
        <v>2.0</v>
      </c>
      <c r="J37" s="10">
        <v>14999.0</v>
      </c>
      <c r="K37" s="10">
        <v>10.0</v>
      </c>
      <c r="L37" s="10" t="s">
        <v>45</v>
      </c>
      <c r="M37" s="10" t="s">
        <v>29</v>
      </c>
      <c r="N37" s="10" t="s">
        <v>40</v>
      </c>
      <c r="O37" s="10" t="s">
        <v>46</v>
      </c>
      <c r="P37" s="10" t="s">
        <v>77</v>
      </c>
      <c r="Q37" s="10"/>
      <c r="R37" s="7">
        <f t="shared" si="1"/>
        <v>26998.2</v>
      </c>
      <c r="S37" s="8">
        <f t="shared" si="2"/>
        <v>4859.676</v>
      </c>
      <c r="T37" s="8">
        <f t="shared" si="3"/>
        <v>31857.876</v>
      </c>
      <c r="U37" s="8" t="str">
        <f t="shared" si="4"/>
        <v>Q3</v>
      </c>
      <c r="V37" s="9"/>
      <c r="W37" s="9"/>
      <c r="X37" s="9"/>
      <c r="Y37" s="9"/>
    </row>
    <row r="38">
      <c r="A38" s="10" t="s">
        <v>139</v>
      </c>
      <c r="B38" s="11">
        <v>45518.0</v>
      </c>
      <c r="C38" s="10" t="s">
        <v>96</v>
      </c>
      <c r="D38" s="10" t="s">
        <v>60</v>
      </c>
      <c r="E38" s="10" t="s">
        <v>122</v>
      </c>
      <c r="F38" s="10" t="s">
        <v>44</v>
      </c>
      <c r="G38" s="10" t="s">
        <v>55</v>
      </c>
      <c r="H38" s="10" t="s">
        <v>56</v>
      </c>
      <c r="I38" s="10">
        <v>2.0</v>
      </c>
      <c r="J38" s="10">
        <v>1499.0</v>
      </c>
      <c r="K38" s="10">
        <v>20.0</v>
      </c>
      <c r="L38" s="10" t="s">
        <v>28</v>
      </c>
      <c r="M38" s="10" t="s">
        <v>29</v>
      </c>
      <c r="N38" s="10" t="s">
        <v>57</v>
      </c>
      <c r="O38" s="10" t="s">
        <v>46</v>
      </c>
      <c r="P38" s="10" t="s">
        <v>32</v>
      </c>
      <c r="Q38" s="10"/>
      <c r="R38" s="7">
        <f t="shared" si="1"/>
        <v>2398.4</v>
      </c>
      <c r="S38" s="8">
        <f t="shared" si="2"/>
        <v>365.8576271</v>
      </c>
      <c r="T38" s="8">
        <f t="shared" si="3"/>
        <v>2398.4</v>
      </c>
      <c r="U38" s="8" t="str">
        <f t="shared" si="4"/>
        <v>Q3</v>
      </c>
      <c r="V38" s="9"/>
      <c r="W38" s="9"/>
      <c r="X38" s="9"/>
      <c r="Y38" s="9"/>
    </row>
    <row r="39">
      <c r="A39" s="10" t="s">
        <v>140</v>
      </c>
      <c r="B39" s="11">
        <v>45833.0</v>
      </c>
      <c r="C39" s="10" t="s">
        <v>141</v>
      </c>
      <c r="D39" s="10" t="s">
        <v>60</v>
      </c>
      <c r="E39" s="10" t="s">
        <v>110</v>
      </c>
      <c r="F39" s="10" t="s">
        <v>51</v>
      </c>
      <c r="G39" s="10" t="s">
        <v>106</v>
      </c>
      <c r="H39" s="10" t="s">
        <v>27</v>
      </c>
      <c r="I39" s="10">
        <v>1.0</v>
      </c>
      <c r="J39" s="10">
        <v>999.0</v>
      </c>
      <c r="K39" s="10">
        <v>0.1</v>
      </c>
      <c r="L39" s="10" t="s">
        <v>45</v>
      </c>
      <c r="M39" s="10" t="s">
        <v>29</v>
      </c>
      <c r="N39" s="10" t="s">
        <v>30</v>
      </c>
      <c r="O39" s="10" t="s">
        <v>67</v>
      </c>
      <c r="P39" s="10" t="s">
        <v>47</v>
      </c>
      <c r="Q39" s="10"/>
      <c r="R39" s="7">
        <f t="shared" si="1"/>
        <v>998.001</v>
      </c>
      <c r="S39" s="8">
        <f t="shared" si="2"/>
        <v>179.64018</v>
      </c>
      <c r="T39" s="8">
        <f t="shared" si="3"/>
        <v>1177.64118</v>
      </c>
      <c r="U39" s="8" t="str">
        <f t="shared" si="4"/>
        <v>Q2</v>
      </c>
      <c r="V39" s="9"/>
      <c r="W39" s="9"/>
      <c r="X39" s="9"/>
      <c r="Y39" s="9"/>
    </row>
    <row r="40">
      <c r="A40" s="10" t="s">
        <v>142</v>
      </c>
      <c r="B40" s="11">
        <v>45828.0</v>
      </c>
      <c r="C40" s="10" t="s">
        <v>131</v>
      </c>
      <c r="D40" s="10" t="s">
        <v>60</v>
      </c>
      <c r="E40" s="10" t="s">
        <v>122</v>
      </c>
      <c r="F40" s="10" t="s">
        <v>74</v>
      </c>
      <c r="G40" s="10" t="s">
        <v>38</v>
      </c>
      <c r="H40" s="10" t="s">
        <v>39</v>
      </c>
      <c r="I40" s="10">
        <v>5.0</v>
      </c>
      <c r="J40" s="10">
        <v>4999.0</v>
      </c>
      <c r="K40" s="10">
        <v>20.0</v>
      </c>
      <c r="L40" s="10" t="s">
        <v>45</v>
      </c>
      <c r="M40" s="10" t="s">
        <v>29</v>
      </c>
      <c r="N40" s="10" t="s">
        <v>40</v>
      </c>
      <c r="O40" s="10" t="s">
        <v>31</v>
      </c>
      <c r="P40" s="10" t="s">
        <v>32</v>
      </c>
      <c r="Q40" s="10"/>
      <c r="R40" s="7">
        <f t="shared" si="1"/>
        <v>19996</v>
      </c>
      <c r="S40" s="8">
        <f t="shared" si="2"/>
        <v>3599.28</v>
      </c>
      <c r="T40" s="8">
        <f t="shared" si="3"/>
        <v>23595.28</v>
      </c>
      <c r="U40" s="8" t="str">
        <f t="shared" si="4"/>
        <v>Q2</v>
      </c>
      <c r="V40" s="9"/>
      <c r="W40" s="9"/>
      <c r="X40" s="9"/>
      <c r="Y40" s="9"/>
    </row>
    <row r="41">
      <c r="A41" s="10" t="s">
        <v>143</v>
      </c>
      <c r="B41" s="11">
        <v>45748.0</v>
      </c>
      <c r="C41" s="10" t="s">
        <v>144</v>
      </c>
      <c r="D41" s="10" t="s">
        <v>35</v>
      </c>
      <c r="E41" s="10" t="s">
        <v>50</v>
      </c>
      <c r="F41" s="10" t="s">
        <v>65</v>
      </c>
      <c r="G41" s="10" t="s">
        <v>26</v>
      </c>
      <c r="H41" s="10" t="s">
        <v>27</v>
      </c>
      <c r="I41" s="10">
        <v>1.0</v>
      </c>
      <c r="J41" s="10">
        <v>9999.0</v>
      </c>
      <c r="K41" s="10">
        <v>5.0</v>
      </c>
      <c r="L41" s="10" t="s">
        <v>45</v>
      </c>
      <c r="M41" s="10" t="s">
        <v>29</v>
      </c>
      <c r="N41" s="10" t="s">
        <v>40</v>
      </c>
      <c r="O41" s="10" t="s">
        <v>46</v>
      </c>
      <c r="P41" s="10" t="s">
        <v>32</v>
      </c>
      <c r="Q41" s="11">
        <v>45778.0</v>
      </c>
      <c r="R41" s="7">
        <f t="shared" si="1"/>
        <v>9499.05</v>
      </c>
      <c r="S41" s="8">
        <f t="shared" si="2"/>
        <v>1709.829</v>
      </c>
      <c r="T41" s="8">
        <f t="shared" si="3"/>
        <v>11208.879</v>
      </c>
      <c r="U41" s="8" t="str">
        <f t="shared" si="4"/>
        <v>Q2</v>
      </c>
      <c r="V41" s="9"/>
      <c r="W41" s="9"/>
      <c r="X41" s="9"/>
      <c r="Y41" s="9"/>
    </row>
    <row r="42">
      <c r="A42" s="10" t="s">
        <v>145</v>
      </c>
      <c r="B42" s="11">
        <v>45538.0</v>
      </c>
      <c r="C42" s="10" t="s">
        <v>116</v>
      </c>
      <c r="D42" s="10" t="s">
        <v>35</v>
      </c>
      <c r="E42" s="10" t="s">
        <v>128</v>
      </c>
      <c r="F42" s="10" t="s">
        <v>37</v>
      </c>
      <c r="G42" s="10" t="s">
        <v>106</v>
      </c>
      <c r="H42" s="10" t="s">
        <v>27</v>
      </c>
      <c r="I42" s="10">
        <v>1.0</v>
      </c>
      <c r="J42" s="10">
        <v>999.0</v>
      </c>
      <c r="K42" s="10">
        <v>0.1</v>
      </c>
      <c r="L42" s="10" t="s">
        <v>45</v>
      </c>
      <c r="M42" s="10" t="s">
        <v>29</v>
      </c>
      <c r="N42" s="10" t="s">
        <v>30</v>
      </c>
      <c r="O42" s="10" t="s">
        <v>41</v>
      </c>
      <c r="P42" s="10" t="s">
        <v>32</v>
      </c>
      <c r="Q42" s="11">
        <v>45903.0</v>
      </c>
      <c r="R42" s="7">
        <f t="shared" si="1"/>
        <v>998.001</v>
      </c>
      <c r="S42" s="8">
        <f t="shared" si="2"/>
        <v>179.64018</v>
      </c>
      <c r="T42" s="8">
        <f t="shared" si="3"/>
        <v>1177.64118</v>
      </c>
      <c r="U42" s="8" t="str">
        <f t="shared" si="4"/>
        <v>Q3</v>
      </c>
      <c r="V42" s="9"/>
      <c r="W42" s="9"/>
      <c r="X42" s="9"/>
      <c r="Y42" s="9"/>
    </row>
    <row r="43">
      <c r="A43" s="10" t="s">
        <v>146</v>
      </c>
      <c r="B43" s="11">
        <v>45718.0</v>
      </c>
      <c r="C43" s="10" t="s">
        <v>147</v>
      </c>
      <c r="D43" s="10" t="s">
        <v>60</v>
      </c>
      <c r="E43" s="10" t="s">
        <v>122</v>
      </c>
      <c r="F43" s="10" t="s">
        <v>148</v>
      </c>
      <c r="G43" s="10" t="s">
        <v>55</v>
      </c>
      <c r="H43" s="10" t="s">
        <v>56</v>
      </c>
      <c r="I43" s="10">
        <v>1.0</v>
      </c>
      <c r="J43" s="10">
        <v>1499.0</v>
      </c>
      <c r="K43" s="10">
        <v>0.0</v>
      </c>
      <c r="L43" s="10" t="s">
        <v>28</v>
      </c>
      <c r="M43" s="10" t="s">
        <v>29</v>
      </c>
      <c r="N43" s="10" t="s">
        <v>114</v>
      </c>
      <c r="O43" s="10" t="s">
        <v>46</v>
      </c>
      <c r="P43" s="10" t="s">
        <v>32</v>
      </c>
      <c r="Q43" s="10"/>
      <c r="R43" s="7">
        <f t="shared" si="1"/>
        <v>1499</v>
      </c>
      <c r="S43" s="8">
        <f t="shared" si="2"/>
        <v>228.6610169</v>
      </c>
      <c r="T43" s="8">
        <f t="shared" si="3"/>
        <v>1499</v>
      </c>
      <c r="U43" s="8" t="str">
        <f t="shared" si="4"/>
        <v>Q1</v>
      </c>
      <c r="V43" s="9"/>
      <c r="W43" s="9"/>
      <c r="X43" s="9"/>
      <c r="Y43" s="9"/>
    </row>
    <row r="44">
      <c r="A44" s="10" t="s">
        <v>149</v>
      </c>
      <c r="B44" s="11">
        <v>45589.0</v>
      </c>
      <c r="C44" s="10" t="s">
        <v>150</v>
      </c>
      <c r="D44" s="10" t="s">
        <v>80</v>
      </c>
      <c r="E44" s="10" t="s">
        <v>151</v>
      </c>
      <c r="F44" s="10" t="s">
        <v>86</v>
      </c>
      <c r="G44" s="10" t="s">
        <v>75</v>
      </c>
      <c r="H44" s="10" t="s">
        <v>56</v>
      </c>
      <c r="I44" s="10">
        <v>2.0</v>
      </c>
      <c r="J44" s="10">
        <v>799.0</v>
      </c>
      <c r="K44" s="10">
        <v>20.0</v>
      </c>
      <c r="L44" s="10" t="s">
        <v>28</v>
      </c>
      <c r="M44" s="10" t="s">
        <v>29</v>
      </c>
      <c r="N44" s="10" t="s">
        <v>57</v>
      </c>
      <c r="O44" s="10" t="s">
        <v>41</v>
      </c>
      <c r="P44" s="10" t="s">
        <v>32</v>
      </c>
      <c r="Q44" s="10"/>
      <c r="R44" s="7">
        <f t="shared" si="1"/>
        <v>1278.4</v>
      </c>
      <c r="S44" s="8">
        <f t="shared" si="2"/>
        <v>195.0101695</v>
      </c>
      <c r="T44" s="8">
        <f t="shared" si="3"/>
        <v>1278.4</v>
      </c>
      <c r="U44" s="8" t="str">
        <f t="shared" si="4"/>
        <v>Q4</v>
      </c>
      <c r="V44" s="9"/>
      <c r="W44" s="9"/>
      <c r="X44" s="9"/>
      <c r="Y44" s="9"/>
    </row>
    <row r="45">
      <c r="A45" s="10" t="s">
        <v>152</v>
      </c>
      <c r="B45" s="11">
        <v>45512.0</v>
      </c>
      <c r="C45" s="10" t="s">
        <v>153</v>
      </c>
      <c r="D45" s="10" t="s">
        <v>80</v>
      </c>
      <c r="E45" s="10" t="s">
        <v>112</v>
      </c>
      <c r="F45" s="10" t="s">
        <v>113</v>
      </c>
      <c r="G45" s="10" t="s">
        <v>106</v>
      </c>
      <c r="H45" s="10" t="s">
        <v>27</v>
      </c>
      <c r="I45" s="10">
        <v>1.0</v>
      </c>
      <c r="J45" s="10">
        <v>999.0</v>
      </c>
      <c r="K45" s="10">
        <v>0.15</v>
      </c>
      <c r="L45" s="10" t="s">
        <v>28</v>
      </c>
      <c r="M45" s="10" t="s">
        <v>29</v>
      </c>
      <c r="N45" s="10" t="s">
        <v>30</v>
      </c>
      <c r="O45" s="10" t="s">
        <v>31</v>
      </c>
      <c r="P45" s="10" t="s">
        <v>32</v>
      </c>
      <c r="Q45" s="11">
        <v>45542.0</v>
      </c>
      <c r="R45" s="7">
        <f t="shared" si="1"/>
        <v>997.5015</v>
      </c>
      <c r="S45" s="8">
        <f t="shared" si="2"/>
        <v>152.1612458</v>
      </c>
      <c r="T45" s="8">
        <f t="shared" si="3"/>
        <v>997.5015</v>
      </c>
      <c r="U45" s="8" t="str">
        <f t="shared" si="4"/>
        <v>Q3</v>
      </c>
      <c r="V45" s="9"/>
      <c r="W45" s="9"/>
      <c r="X45" s="9"/>
      <c r="Y45" s="9"/>
    </row>
    <row r="46">
      <c r="A46" s="10" t="s">
        <v>154</v>
      </c>
      <c r="B46" s="11">
        <v>45610.0</v>
      </c>
      <c r="C46" s="10" t="s">
        <v>53</v>
      </c>
      <c r="D46" s="10" t="s">
        <v>35</v>
      </c>
      <c r="E46" s="10" t="s">
        <v>128</v>
      </c>
      <c r="F46" s="10" t="s">
        <v>65</v>
      </c>
      <c r="G46" s="10" t="s">
        <v>55</v>
      </c>
      <c r="H46" s="10" t="s">
        <v>56</v>
      </c>
      <c r="I46" s="10">
        <v>1.0</v>
      </c>
      <c r="J46" s="10">
        <v>1499.0</v>
      </c>
      <c r="K46" s="10">
        <v>10.0</v>
      </c>
      <c r="L46" s="10" t="s">
        <v>45</v>
      </c>
      <c r="M46" s="10" t="s">
        <v>29</v>
      </c>
      <c r="N46" s="10" t="s">
        <v>57</v>
      </c>
      <c r="O46" s="10" t="s">
        <v>46</v>
      </c>
      <c r="P46" s="10" t="s">
        <v>32</v>
      </c>
      <c r="Q46" s="10"/>
      <c r="R46" s="7">
        <f t="shared" si="1"/>
        <v>1349.1</v>
      </c>
      <c r="S46" s="8">
        <f t="shared" si="2"/>
        <v>242.838</v>
      </c>
      <c r="T46" s="8">
        <f t="shared" si="3"/>
        <v>1591.938</v>
      </c>
      <c r="U46" s="8" t="str">
        <f t="shared" si="4"/>
        <v>Q4</v>
      </c>
      <c r="V46" s="9"/>
      <c r="W46" s="9"/>
      <c r="X46" s="9"/>
      <c r="Y46" s="9"/>
    </row>
    <row r="47">
      <c r="A47" s="10" t="s">
        <v>97</v>
      </c>
      <c r="B47" s="11">
        <v>45607.0</v>
      </c>
      <c r="C47" s="10" t="s">
        <v>98</v>
      </c>
      <c r="D47" s="10" t="s">
        <v>23</v>
      </c>
      <c r="E47" s="10" t="s">
        <v>155</v>
      </c>
      <c r="F47" s="10" t="s">
        <v>44</v>
      </c>
      <c r="G47" s="10" t="s">
        <v>66</v>
      </c>
      <c r="H47" s="10" t="s">
        <v>39</v>
      </c>
      <c r="I47" s="10">
        <v>6.0</v>
      </c>
      <c r="J47" s="10">
        <v>14999.0</v>
      </c>
      <c r="K47" s="10">
        <v>10.0</v>
      </c>
      <c r="L47" s="10" t="s">
        <v>45</v>
      </c>
      <c r="M47" s="10" t="s">
        <v>29</v>
      </c>
      <c r="N47" s="10" t="s">
        <v>57</v>
      </c>
      <c r="O47" s="10" t="s">
        <v>41</v>
      </c>
      <c r="P47" s="10" t="s">
        <v>32</v>
      </c>
      <c r="Q47" s="10"/>
      <c r="R47" s="7">
        <f t="shared" si="1"/>
        <v>80994.6</v>
      </c>
      <c r="S47" s="8">
        <f t="shared" si="2"/>
        <v>14579.028</v>
      </c>
      <c r="T47" s="8">
        <f t="shared" si="3"/>
        <v>95573.628</v>
      </c>
      <c r="U47" s="8" t="str">
        <f t="shared" si="4"/>
        <v>Q4</v>
      </c>
      <c r="V47" s="9"/>
      <c r="W47" s="9"/>
      <c r="X47" s="9"/>
      <c r="Y47" s="9"/>
    </row>
    <row r="48">
      <c r="A48" s="10" t="s">
        <v>156</v>
      </c>
      <c r="B48" s="11">
        <v>45639.0</v>
      </c>
      <c r="C48" s="10" t="s">
        <v>157</v>
      </c>
      <c r="D48" s="10" t="s">
        <v>35</v>
      </c>
      <c r="E48" s="10" t="s">
        <v>85</v>
      </c>
      <c r="F48" s="10" t="s">
        <v>65</v>
      </c>
      <c r="G48" s="10" t="s">
        <v>55</v>
      </c>
      <c r="H48" s="10" t="s">
        <v>56</v>
      </c>
      <c r="I48" s="10">
        <v>1.0</v>
      </c>
      <c r="J48" s="10">
        <v>1499.0</v>
      </c>
      <c r="K48" s="10">
        <v>0.15</v>
      </c>
      <c r="L48" s="10" t="s">
        <v>28</v>
      </c>
      <c r="M48" s="10" t="s">
        <v>29</v>
      </c>
      <c r="N48" s="10" t="s">
        <v>30</v>
      </c>
      <c r="O48" s="10" t="s">
        <v>67</v>
      </c>
      <c r="P48" s="10" t="s">
        <v>32</v>
      </c>
      <c r="Q48" s="10"/>
      <c r="R48" s="7">
        <f t="shared" si="1"/>
        <v>1496.7515</v>
      </c>
      <c r="S48" s="8">
        <f t="shared" si="2"/>
        <v>228.3180254</v>
      </c>
      <c r="T48" s="8">
        <f t="shared" si="3"/>
        <v>1496.7515</v>
      </c>
      <c r="U48" s="8" t="str">
        <f t="shared" si="4"/>
        <v>Q4</v>
      </c>
      <c r="V48" s="9"/>
      <c r="W48" s="9"/>
      <c r="X48" s="9"/>
      <c r="Y48" s="9"/>
    </row>
    <row r="49">
      <c r="A49" s="10" t="s">
        <v>158</v>
      </c>
      <c r="B49" s="11">
        <v>45520.0</v>
      </c>
      <c r="C49" s="10" t="s">
        <v>131</v>
      </c>
      <c r="D49" s="10" t="s">
        <v>60</v>
      </c>
      <c r="E49" s="10" t="s">
        <v>61</v>
      </c>
      <c r="F49" s="10" t="s">
        <v>44</v>
      </c>
      <c r="G49" s="10" t="s">
        <v>26</v>
      </c>
      <c r="H49" s="10" t="s">
        <v>27</v>
      </c>
      <c r="I49" s="10">
        <v>1.0</v>
      </c>
      <c r="J49" s="10">
        <v>9999.0</v>
      </c>
      <c r="K49" s="10">
        <v>10.0</v>
      </c>
      <c r="L49" s="10" t="s">
        <v>45</v>
      </c>
      <c r="M49" s="10" t="s">
        <v>29</v>
      </c>
      <c r="N49" s="10" t="s">
        <v>30</v>
      </c>
      <c r="O49" s="10" t="s">
        <v>31</v>
      </c>
      <c r="P49" s="10" t="s">
        <v>77</v>
      </c>
      <c r="Q49" s="10"/>
      <c r="R49" s="7">
        <f t="shared" si="1"/>
        <v>8999.1</v>
      </c>
      <c r="S49" s="8">
        <f t="shared" si="2"/>
        <v>1619.838</v>
      </c>
      <c r="T49" s="8">
        <f t="shared" si="3"/>
        <v>10618.938</v>
      </c>
      <c r="U49" s="8" t="str">
        <f t="shared" si="4"/>
        <v>Q3</v>
      </c>
      <c r="V49" s="9"/>
      <c r="W49" s="9"/>
      <c r="X49" s="9"/>
      <c r="Y49" s="9"/>
    </row>
    <row r="50">
      <c r="A50" s="10" t="s">
        <v>159</v>
      </c>
      <c r="B50" s="11">
        <v>45680.0</v>
      </c>
      <c r="C50" s="10" t="s">
        <v>98</v>
      </c>
      <c r="D50" s="10" t="s">
        <v>60</v>
      </c>
      <c r="E50" s="10" t="s">
        <v>102</v>
      </c>
      <c r="F50" s="10" t="s">
        <v>51</v>
      </c>
      <c r="G50" s="10" t="s">
        <v>106</v>
      </c>
      <c r="H50" s="10" t="s">
        <v>27</v>
      </c>
      <c r="I50" s="10">
        <v>1.0</v>
      </c>
      <c r="J50" s="10">
        <v>999.0</v>
      </c>
      <c r="K50" s="10">
        <v>0.0</v>
      </c>
      <c r="L50" s="10" t="s">
        <v>28</v>
      </c>
      <c r="M50" s="10" t="s">
        <v>29</v>
      </c>
      <c r="N50" s="10" t="s">
        <v>57</v>
      </c>
      <c r="O50" s="10" t="s">
        <v>46</v>
      </c>
      <c r="P50" s="10" t="s">
        <v>77</v>
      </c>
      <c r="Q50" s="10"/>
      <c r="R50" s="7">
        <f t="shared" si="1"/>
        <v>999</v>
      </c>
      <c r="S50" s="8">
        <f t="shared" si="2"/>
        <v>152.3898305</v>
      </c>
      <c r="T50" s="8">
        <f t="shared" si="3"/>
        <v>999</v>
      </c>
      <c r="U50" s="8" t="str">
        <f t="shared" si="4"/>
        <v>Q1</v>
      </c>
      <c r="V50" s="9"/>
      <c r="W50" s="9"/>
      <c r="X50" s="9"/>
      <c r="Y50" s="9"/>
    </row>
    <row r="51">
      <c r="A51" s="10" t="s">
        <v>160</v>
      </c>
      <c r="B51" s="11">
        <v>45698.0</v>
      </c>
      <c r="C51" s="10" t="s">
        <v>161</v>
      </c>
      <c r="D51" s="10" t="s">
        <v>60</v>
      </c>
      <c r="E51" s="10" t="s">
        <v>102</v>
      </c>
      <c r="F51" s="10" t="s">
        <v>51</v>
      </c>
      <c r="G51" s="10" t="s">
        <v>26</v>
      </c>
      <c r="H51" s="10" t="s">
        <v>27</v>
      </c>
      <c r="I51" s="10">
        <v>1.0</v>
      </c>
      <c r="J51" s="10">
        <v>9999.0</v>
      </c>
      <c r="K51" s="10">
        <v>0.0</v>
      </c>
      <c r="L51" s="10" t="s">
        <v>28</v>
      </c>
      <c r="M51" s="10" t="s">
        <v>29</v>
      </c>
      <c r="N51" s="10" t="s">
        <v>57</v>
      </c>
      <c r="O51" s="10" t="s">
        <v>41</v>
      </c>
      <c r="P51" s="10" t="s">
        <v>47</v>
      </c>
      <c r="Q51" s="10"/>
      <c r="R51" s="7">
        <f t="shared" si="1"/>
        <v>9999</v>
      </c>
      <c r="S51" s="8">
        <f t="shared" si="2"/>
        <v>1525.271186</v>
      </c>
      <c r="T51" s="8">
        <f t="shared" si="3"/>
        <v>9999</v>
      </c>
      <c r="U51" s="8" t="str">
        <f t="shared" si="4"/>
        <v>Q1</v>
      </c>
      <c r="V51" s="9"/>
      <c r="W51" s="9"/>
      <c r="X51" s="9"/>
      <c r="Y51" s="9"/>
    </row>
    <row r="52">
      <c r="A52" s="10" t="s">
        <v>162</v>
      </c>
      <c r="B52" s="11">
        <v>45552.0</v>
      </c>
      <c r="C52" s="10" t="s">
        <v>163</v>
      </c>
      <c r="D52" s="10" t="s">
        <v>23</v>
      </c>
      <c r="E52" s="10" t="s">
        <v>73</v>
      </c>
      <c r="F52" s="10" t="s">
        <v>65</v>
      </c>
      <c r="G52" s="10" t="s">
        <v>38</v>
      </c>
      <c r="H52" s="10" t="s">
        <v>39</v>
      </c>
      <c r="I52" s="10">
        <v>5.0</v>
      </c>
      <c r="J52" s="10">
        <v>4999.0</v>
      </c>
      <c r="K52" s="10">
        <v>10.0</v>
      </c>
      <c r="L52" s="10" t="s">
        <v>28</v>
      </c>
      <c r="M52" s="10" t="s">
        <v>29</v>
      </c>
      <c r="N52" s="10" t="s">
        <v>40</v>
      </c>
      <c r="O52" s="10" t="s">
        <v>67</v>
      </c>
      <c r="P52" s="10" t="s">
        <v>32</v>
      </c>
      <c r="Q52" s="10"/>
      <c r="R52" s="7">
        <f t="shared" si="1"/>
        <v>22495.5</v>
      </c>
      <c r="S52" s="8">
        <f t="shared" si="2"/>
        <v>3431.516949</v>
      </c>
      <c r="T52" s="8">
        <f t="shared" si="3"/>
        <v>22495.5</v>
      </c>
      <c r="U52" s="8" t="str">
        <f t="shared" si="4"/>
        <v>Q3</v>
      </c>
      <c r="V52" s="9"/>
      <c r="W52" s="9"/>
      <c r="X52" s="9"/>
      <c r="Y52" s="9"/>
    </row>
    <row r="53">
      <c r="A53" s="10" t="s">
        <v>164</v>
      </c>
      <c r="B53" s="11">
        <v>45686.0</v>
      </c>
      <c r="C53" s="10" t="s">
        <v>43</v>
      </c>
      <c r="D53" s="10" t="s">
        <v>80</v>
      </c>
      <c r="E53" s="10" t="s">
        <v>112</v>
      </c>
      <c r="F53" s="10" t="s">
        <v>65</v>
      </c>
      <c r="G53" s="10" t="s">
        <v>38</v>
      </c>
      <c r="H53" s="10" t="s">
        <v>39</v>
      </c>
      <c r="I53" s="10">
        <v>3.0</v>
      </c>
      <c r="J53" s="10">
        <v>4999.0</v>
      </c>
      <c r="K53" s="10">
        <v>0.0</v>
      </c>
      <c r="L53" s="10" t="s">
        <v>45</v>
      </c>
      <c r="M53" s="10" t="s">
        <v>29</v>
      </c>
      <c r="N53" s="10" t="s">
        <v>40</v>
      </c>
      <c r="O53" s="10" t="s">
        <v>31</v>
      </c>
      <c r="P53" s="10" t="s">
        <v>32</v>
      </c>
      <c r="Q53" s="10"/>
      <c r="R53" s="7">
        <f t="shared" si="1"/>
        <v>14997</v>
      </c>
      <c r="S53" s="8">
        <f t="shared" si="2"/>
        <v>2699.46</v>
      </c>
      <c r="T53" s="8">
        <f t="shared" si="3"/>
        <v>17696.46</v>
      </c>
      <c r="U53" s="8" t="str">
        <f t="shared" si="4"/>
        <v>Q1</v>
      </c>
      <c r="V53" s="9"/>
      <c r="W53" s="9"/>
      <c r="X53" s="9"/>
      <c r="Y53" s="9"/>
    </row>
    <row r="54">
      <c r="A54" s="10" t="s">
        <v>165</v>
      </c>
      <c r="B54" s="11">
        <v>45707.0</v>
      </c>
      <c r="C54" s="10" t="s">
        <v>109</v>
      </c>
      <c r="D54" s="10" t="s">
        <v>60</v>
      </c>
      <c r="E54" s="10" t="s">
        <v>122</v>
      </c>
      <c r="F54" s="10" t="s">
        <v>51</v>
      </c>
      <c r="G54" s="10" t="s">
        <v>106</v>
      </c>
      <c r="H54" s="10" t="s">
        <v>27</v>
      </c>
      <c r="I54" s="10">
        <v>1.0</v>
      </c>
      <c r="J54" s="10">
        <v>999.0</v>
      </c>
      <c r="K54" s="10">
        <v>5.0</v>
      </c>
      <c r="L54" s="10" t="s">
        <v>45</v>
      </c>
      <c r="M54" s="10" t="s">
        <v>166</v>
      </c>
      <c r="N54" s="10" t="s">
        <v>30</v>
      </c>
      <c r="O54" s="10" t="s">
        <v>31</v>
      </c>
      <c r="P54" s="10" t="s">
        <v>32</v>
      </c>
      <c r="Q54" s="11">
        <v>46072.0</v>
      </c>
      <c r="R54" s="7">
        <f t="shared" si="1"/>
        <v>949.05</v>
      </c>
      <c r="S54" s="8">
        <f t="shared" si="2"/>
        <v>170.829</v>
      </c>
      <c r="T54" s="8">
        <f t="shared" si="3"/>
        <v>1119.879</v>
      </c>
      <c r="U54" s="8" t="str">
        <f t="shared" si="4"/>
        <v>Q1</v>
      </c>
      <c r="V54" s="9"/>
      <c r="W54" s="9"/>
      <c r="X54" s="9"/>
      <c r="Y54" s="9"/>
    </row>
    <row r="55">
      <c r="A55" s="10" t="s">
        <v>167</v>
      </c>
      <c r="B55" s="11">
        <v>45643.0</v>
      </c>
      <c r="C55" s="10" t="s">
        <v>43</v>
      </c>
      <c r="D55" s="10" t="s">
        <v>60</v>
      </c>
      <c r="E55" s="10" t="s">
        <v>110</v>
      </c>
      <c r="F55" s="10" t="s">
        <v>74</v>
      </c>
      <c r="G55" s="10" t="s">
        <v>55</v>
      </c>
      <c r="H55" s="10" t="s">
        <v>56</v>
      </c>
      <c r="I55" s="10">
        <v>2.0</v>
      </c>
      <c r="J55" s="10">
        <v>1499.0</v>
      </c>
      <c r="K55" s="10">
        <v>20.0</v>
      </c>
      <c r="L55" s="10" t="s">
        <v>28</v>
      </c>
      <c r="M55" s="10" t="s">
        <v>29</v>
      </c>
      <c r="N55" s="10" t="s">
        <v>30</v>
      </c>
      <c r="O55" s="10" t="s">
        <v>46</v>
      </c>
      <c r="P55" s="10" t="s">
        <v>32</v>
      </c>
      <c r="Q55" s="10"/>
      <c r="R55" s="7">
        <f t="shared" si="1"/>
        <v>2398.4</v>
      </c>
      <c r="S55" s="8">
        <f t="shared" si="2"/>
        <v>365.8576271</v>
      </c>
      <c r="T55" s="8">
        <f t="shared" si="3"/>
        <v>2398.4</v>
      </c>
      <c r="U55" s="8" t="str">
        <f t="shared" si="4"/>
        <v>Q4</v>
      </c>
      <c r="V55" s="9"/>
      <c r="W55" s="9"/>
      <c r="X55" s="9"/>
      <c r="Y55" s="9"/>
    </row>
    <row r="56">
      <c r="A56" s="10" t="s">
        <v>168</v>
      </c>
      <c r="B56" s="11">
        <v>45668.0</v>
      </c>
      <c r="C56" s="10" t="s">
        <v>134</v>
      </c>
      <c r="D56" s="10" t="s">
        <v>60</v>
      </c>
      <c r="E56" s="10" t="s">
        <v>102</v>
      </c>
      <c r="F56" s="10" t="s">
        <v>51</v>
      </c>
      <c r="G56" s="10" t="s">
        <v>38</v>
      </c>
      <c r="H56" s="10" t="s">
        <v>39</v>
      </c>
      <c r="I56" s="10">
        <v>5.0</v>
      </c>
      <c r="J56" s="10">
        <v>4999.0</v>
      </c>
      <c r="K56" s="10">
        <v>20.0</v>
      </c>
      <c r="L56" s="10" t="s">
        <v>28</v>
      </c>
      <c r="M56" s="10" t="s">
        <v>29</v>
      </c>
      <c r="N56" s="10" t="s">
        <v>30</v>
      </c>
      <c r="O56" s="10" t="s">
        <v>46</v>
      </c>
      <c r="P56" s="10" t="s">
        <v>87</v>
      </c>
      <c r="Q56" s="10"/>
      <c r="R56" s="7">
        <f t="shared" si="1"/>
        <v>19996</v>
      </c>
      <c r="S56" s="8">
        <f t="shared" si="2"/>
        <v>3050.237288</v>
      </c>
      <c r="T56" s="8">
        <f t="shared" si="3"/>
        <v>19996</v>
      </c>
      <c r="U56" s="8" t="str">
        <f t="shared" si="4"/>
        <v>Q1</v>
      </c>
      <c r="V56" s="9"/>
      <c r="W56" s="9"/>
      <c r="X56" s="9"/>
      <c r="Y56" s="9"/>
    </row>
    <row r="57">
      <c r="A57" s="10" t="s">
        <v>169</v>
      </c>
      <c r="B57" s="11">
        <v>45488.0</v>
      </c>
      <c r="C57" s="10" t="s">
        <v>53</v>
      </c>
      <c r="D57" s="10" t="s">
        <v>23</v>
      </c>
      <c r="E57" s="10" t="s">
        <v>99</v>
      </c>
      <c r="F57" s="10" t="s">
        <v>65</v>
      </c>
      <c r="G57" s="10" t="s">
        <v>93</v>
      </c>
      <c r="H57" s="10" t="s">
        <v>27</v>
      </c>
      <c r="I57" s="10">
        <v>1.0</v>
      </c>
      <c r="J57" s="10">
        <v>2999.0</v>
      </c>
      <c r="K57" s="10">
        <v>10.0</v>
      </c>
      <c r="L57" s="10" t="s">
        <v>45</v>
      </c>
      <c r="M57" s="10" t="s">
        <v>29</v>
      </c>
      <c r="N57" s="10" t="s">
        <v>94</v>
      </c>
      <c r="O57" s="10" t="s">
        <v>67</v>
      </c>
      <c r="P57" s="10" t="s">
        <v>32</v>
      </c>
      <c r="Q57" s="11">
        <v>45518.0</v>
      </c>
      <c r="R57" s="7">
        <f t="shared" si="1"/>
        <v>2699.1</v>
      </c>
      <c r="S57" s="8">
        <f t="shared" si="2"/>
        <v>485.838</v>
      </c>
      <c r="T57" s="8">
        <f t="shared" si="3"/>
        <v>3184.938</v>
      </c>
      <c r="U57" s="8" t="str">
        <f t="shared" si="4"/>
        <v>Q3</v>
      </c>
      <c r="V57" s="9"/>
      <c r="W57" s="9"/>
      <c r="X57" s="9"/>
      <c r="Y57" s="9"/>
    </row>
    <row r="58">
      <c r="A58" s="10" t="s">
        <v>170</v>
      </c>
      <c r="B58" s="11">
        <v>45592.0</v>
      </c>
      <c r="C58" s="10" t="s">
        <v>141</v>
      </c>
      <c r="D58" s="10" t="s">
        <v>23</v>
      </c>
      <c r="E58" s="10" t="s">
        <v>99</v>
      </c>
      <c r="F58" s="10" t="s">
        <v>37</v>
      </c>
      <c r="G58" s="10" t="s">
        <v>75</v>
      </c>
      <c r="H58" s="10" t="s">
        <v>56</v>
      </c>
      <c r="I58" s="10">
        <v>1.0</v>
      </c>
      <c r="J58" s="10">
        <v>799.0</v>
      </c>
      <c r="K58" s="10">
        <v>0.0</v>
      </c>
      <c r="L58" s="10" t="s">
        <v>45</v>
      </c>
      <c r="M58" s="10" t="s">
        <v>29</v>
      </c>
      <c r="N58" s="10" t="s">
        <v>40</v>
      </c>
      <c r="O58" s="10" t="s">
        <v>31</v>
      </c>
      <c r="P58" s="10" t="s">
        <v>87</v>
      </c>
      <c r="Q58" s="10"/>
      <c r="R58" s="7">
        <f t="shared" si="1"/>
        <v>799</v>
      </c>
      <c r="S58" s="8">
        <f t="shared" si="2"/>
        <v>143.82</v>
      </c>
      <c r="T58" s="8">
        <f t="shared" si="3"/>
        <v>942.82</v>
      </c>
      <c r="U58" s="8" t="str">
        <f t="shared" si="4"/>
        <v>Q4</v>
      </c>
      <c r="V58" s="9"/>
      <c r="W58" s="9"/>
      <c r="X58" s="9"/>
      <c r="Y58" s="9"/>
    </row>
    <row r="59">
      <c r="A59" s="10" t="s">
        <v>171</v>
      </c>
      <c r="B59" s="11">
        <v>45670.0</v>
      </c>
      <c r="C59" s="10" t="s">
        <v>172</v>
      </c>
      <c r="D59" s="10" t="s">
        <v>35</v>
      </c>
      <c r="E59" s="10" t="s">
        <v>85</v>
      </c>
      <c r="F59" s="10" t="s">
        <v>51</v>
      </c>
      <c r="G59" s="10" t="s">
        <v>66</v>
      </c>
      <c r="H59" s="10" t="s">
        <v>39</v>
      </c>
      <c r="I59" s="10">
        <v>1.0</v>
      </c>
      <c r="J59" s="10">
        <v>14999.0</v>
      </c>
      <c r="K59" s="10">
        <v>0.15</v>
      </c>
      <c r="L59" s="10" t="s">
        <v>28</v>
      </c>
      <c r="M59" s="10" t="s">
        <v>166</v>
      </c>
      <c r="N59" s="10" t="s">
        <v>40</v>
      </c>
      <c r="O59" s="10" t="s">
        <v>31</v>
      </c>
      <c r="P59" s="10" t="s">
        <v>32</v>
      </c>
      <c r="Q59" s="10"/>
      <c r="R59" s="7">
        <f t="shared" si="1"/>
        <v>14976.5015</v>
      </c>
      <c r="S59" s="8">
        <f t="shared" si="2"/>
        <v>2284.551076</v>
      </c>
      <c r="T59" s="8">
        <f t="shared" si="3"/>
        <v>14976.5015</v>
      </c>
      <c r="U59" s="8" t="str">
        <f t="shared" si="4"/>
        <v>Q1</v>
      </c>
      <c r="V59" s="9"/>
      <c r="W59" s="9"/>
      <c r="X59" s="9"/>
      <c r="Y59" s="9"/>
    </row>
    <row r="60">
      <c r="A60" s="10" t="s">
        <v>173</v>
      </c>
      <c r="B60" s="11">
        <v>45591.0</v>
      </c>
      <c r="C60" s="10" t="s">
        <v>144</v>
      </c>
      <c r="D60" s="10" t="s">
        <v>23</v>
      </c>
      <c r="E60" s="10" t="s">
        <v>83</v>
      </c>
      <c r="F60" s="10" t="s">
        <v>86</v>
      </c>
      <c r="G60" s="10" t="s">
        <v>75</v>
      </c>
      <c r="H60" s="10" t="s">
        <v>56</v>
      </c>
      <c r="I60" s="10">
        <v>1.0</v>
      </c>
      <c r="J60" s="10">
        <v>799.0</v>
      </c>
      <c r="K60" s="10">
        <v>5.0</v>
      </c>
      <c r="L60" s="10" t="s">
        <v>28</v>
      </c>
      <c r="M60" s="10" t="s">
        <v>29</v>
      </c>
      <c r="N60" s="10" t="s">
        <v>57</v>
      </c>
      <c r="O60" s="10" t="s">
        <v>41</v>
      </c>
      <c r="P60" s="10" t="s">
        <v>77</v>
      </c>
      <c r="Q60" s="10"/>
      <c r="R60" s="7">
        <f t="shared" si="1"/>
        <v>759.05</v>
      </c>
      <c r="S60" s="8">
        <f t="shared" si="2"/>
        <v>115.7872881</v>
      </c>
      <c r="T60" s="8">
        <f t="shared" si="3"/>
        <v>759.05</v>
      </c>
      <c r="U60" s="8" t="str">
        <f t="shared" si="4"/>
        <v>Q4</v>
      </c>
      <c r="V60" s="9"/>
      <c r="W60" s="9"/>
      <c r="X60" s="9"/>
      <c r="Y60" s="9"/>
    </row>
    <row r="61">
      <c r="A61" s="10" t="s">
        <v>174</v>
      </c>
      <c r="B61" s="11">
        <v>45625.0</v>
      </c>
      <c r="C61" s="10" t="s">
        <v>105</v>
      </c>
      <c r="D61" s="10" t="s">
        <v>60</v>
      </c>
      <c r="E61" s="10" t="s">
        <v>102</v>
      </c>
      <c r="F61" s="10" t="s">
        <v>51</v>
      </c>
      <c r="G61" s="10" t="s">
        <v>75</v>
      </c>
      <c r="H61" s="10" t="s">
        <v>56</v>
      </c>
      <c r="I61" s="10">
        <v>2.0</v>
      </c>
      <c r="J61" s="10">
        <v>799.0</v>
      </c>
      <c r="K61" s="10">
        <v>0.0</v>
      </c>
      <c r="L61" s="10" t="s">
        <v>28</v>
      </c>
      <c r="M61" s="10" t="s">
        <v>29</v>
      </c>
      <c r="N61" s="10" t="s">
        <v>40</v>
      </c>
      <c r="O61" s="10" t="s">
        <v>46</v>
      </c>
      <c r="P61" s="10" t="s">
        <v>62</v>
      </c>
      <c r="Q61" s="10"/>
      <c r="R61" s="7">
        <f t="shared" si="1"/>
        <v>1598</v>
      </c>
      <c r="S61" s="8">
        <f t="shared" si="2"/>
        <v>243.7627119</v>
      </c>
      <c r="T61" s="8">
        <f t="shared" si="3"/>
        <v>1598</v>
      </c>
      <c r="U61" s="8" t="str">
        <f t="shared" si="4"/>
        <v>Q4</v>
      </c>
      <c r="V61" s="9"/>
      <c r="W61" s="9"/>
      <c r="X61" s="9"/>
      <c r="Y61" s="9"/>
    </row>
    <row r="62">
      <c r="A62" s="10" t="s">
        <v>175</v>
      </c>
      <c r="B62" s="11">
        <v>45589.0</v>
      </c>
      <c r="C62" s="10" t="s">
        <v>131</v>
      </c>
      <c r="D62" s="10" t="s">
        <v>35</v>
      </c>
      <c r="E62" s="10" t="s">
        <v>50</v>
      </c>
      <c r="F62" s="10" t="s">
        <v>65</v>
      </c>
      <c r="G62" s="10" t="s">
        <v>38</v>
      </c>
      <c r="H62" s="10" t="s">
        <v>39</v>
      </c>
      <c r="I62" s="10">
        <v>5.0</v>
      </c>
      <c r="J62" s="10">
        <v>4999.0</v>
      </c>
      <c r="K62" s="10">
        <v>15.0</v>
      </c>
      <c r="L62" s="10" t="s">
        <v>45</v>
      </c>
      <c r="M62" s="10" t="s">
        <v>166</v>
      </c>
      <c r="N62" s="10" t="s">
        <v>57</v>
      </c>
      <c r="O62" s="10" t="s">
        <v>41</v>
      </c>
      <c r="P62" s="10" t="s">
        <v>47</v>
      </c>
      <c r="Q62" s="10"/>
      <c r="R62" s="7">
        <f t="shared" si="1"/>
        <v>21245.75</v>
      </c>
      <c r="S62" s="8">
        <f t="shared" si="2"/>
        <v>3824.235</v>
      </c>
      <c r="T62" s="8">
        <f t="shared" si="3"/>
        <v>25069.985</v>
      </c>
      <c r="U62" s="8" t="str">
        <f t="shared" si="4"/>
        <v>Q4</v>
      </c>
      <c r="V62" s="9"/>
      <c r="W62" s="9"/>
      <c r="X62" s="9"/>
      <c r="Y62" s="9"/>
    </row>
    <row r="63">
      <c r="A63" s="10" t="s">
        <v>176</v>
      </c>
      <c r="B63" s="11">
        <v>45529.0</v>
      </c>
      <c r="C63" s="10" t="s">
        <v>125</v>
      </c>
      <c r="D63" s="10" t="s">
        <v>35</v>
      </c>
      <c r="E63" s="10" t="s">
        <v>50</v>
      </c>
      <c r="F63" s="10" t="s">
        <v>86</v>
      </c>
      <c r="G63" s="10" t="s">
        <v>75</v>
      </c>
      <c r="H63" s="10" t="s">
        <v>56</v>
      </c>
      <c r="I63" s="10">
        <v>-2.0</v>
      </c>
      <c r="J63" s="10">
        <v>799.0</v>
      </c>
      <c r="K63" s="10">
        <v>0.1</v>
      </c>
      <c r="L63" s="10" t="s">
        <v>28</v>
      </c>
      <c r="M63" s="10" t="s">
        <v>29</v>
      </c>
      <c r="N63" s="10" t="s">
        <v>57</v>
      </c>
      <c r="O63" s="10" t="s">
        <v>31</v>
      </c>
      <c r="P63" s="12" t="s">
        <v>77</v>
      </c>
      <c r="Q63" s="10"/>
      <c r="R63" s="7">
        <f t="shared" si="1"/>
        <v>-1596.402</v>
      </c>
      <c r="S63" s="8">
        <f t="shared" si="2"/>
        <v>-243.5189492</v>
      </c>
      <c r="T63" s="8">
        <f t="shared" si="3"/>
        <v>-1596.402</v>
      </c>
      <c r="U63" s="8" t="str">
        <f t="shared" si="4"/>
        <v>Q3</v>
      </c>
      <c r="V63" s="9"/>
      <c r="W63" s="9"/>
      <c r="X63" s="9"/>
      <c r="Y63" s="9"/>
    </row>
    <row r="64">
      <c r="A64" s="10" t="s">
        <v>177</v>
      </c>
      <c r="B64" s="11">
        <v>45726.0</v>
      </c>
      <c r="C64" s="10" t="s">
        <v>105</v>
      </c>
      <c r="D64" s="10" t="s">
        <v>60</v>
      </c>
      <c r="E64" s="10" t="s">
        <v>102</v>
      </c>
      <c r="F64" s="10" t="s">
        <v>65</v>
      </c>
      <c r="G64" s="10" t="s">
        <v>26</v>
      </c>
      <c r="H64" s="10" t="s">
        <v>27</v>
      </c>
      <c r="I64" s="10">
        <v>1.0</v>
      </c>
      <c r="J64" s="10">
        <v>9999.0</v>
      </c>
      <c r="K64" s="10">
        <v>0.1</v>
      </c>
      <c r="L64" s="10" t="s">
        <v>45</v>
      </c>
      <c r="M64" s="10" t="s">
        <v>29</v>
      </c>
      <c r="N64" s="10" t="s">
        <v>40</v>
      </c>
      <c r="O64" s="10" t="s">
        <v>67</v>
      </c>
      <c r="P64" s="10" t="s">
        <v>32</v>
      </c>
      <c r="Q64" s="11">
        <v>45816.0</v>
      </c>
      <c r="R64" s="7">
        <f t="shared" si="1"/>
        <v>9989.001</v>
      </c>
      <c r="S64" s="8">
        <f t="shared" si="2"/>
        <v>1798.02018</v>
      </c>
      <c r="T64" s="8">
        <f t="shared" si="3"/>
        <v>11787.02118</v>
      </c>
      <c r="U64" s="8" t="str">
        <f t="shared" si="4"/>
        <v>Q1</v>
      </c>
      <c r="V64" s="9"/>
      <c r="W64" s="9"/>
      <c r="X64" s="9"/>
      <c r="Y64" s="9"/>
    </row>
    <row r="65">
      <c r="A65" s="10" t="s">
        <v>178</v>
      </c>
      <c r="B65" s="11">
        <v>45701.0</v>
      </c>
      <c r="C65" s="10" t="s">
        <v>153</v>
      </c>
      <c r="D65" s="10" t="s">
        <v>60</v>
      </c>
      <c r="E65" s="10" t="s">
        <v>122</v>
      </c>
      <c r="F65" s="10" t="s">
        <v>65</v>
      </c>
      <c r="G65" s="10" t="s">
        <v>106</v>
      </c>
      <c r="H65" s="10" t="s">
        <v>27</v>
      </c>
      <c r="I65" s="10">
        <v>1.0</v>
      </c>
      <c r="J65" s="10">
        <v>999.0</v>
      </c>
      <c r="K65" s="10">
        <v>0.0</v>
      </c>
      <c r="L65" s="10" t="s">
        <v>28</v>
      </c>
      <c r="M65" s="10" t="s">
        <v>29</v>
      </c>
      <c r="N65" s="10" t="s">
        <v>40</v>
      </c>
      <c r="O65" s="10" t="s">
        <v>46</v>
      </c>
      <c r="P65" s="10" t="s">
        <v>47</v>
      </c>
      <c r="Q65" s="10"/>
      <c r="R65" s="7">
        <f t="shared" si="1"/>
        <v>999</v>
      </c>
      <c r="S65" s="8">
        <f t="shared" si="2"/>
        <v>152.3898305</v>
      </c>
      <c r="T65" s="8">
        <f t="shared" si="3"/>
        <v>999</v>
      </c>
      <c r="U65" s="8" t="str">
        <f t="shared" si="4"/>
        <v>Q1</v>
      </c>
      <c r="V65" s="9"/>
      <c r="W65" s="9"/>
      <c r="X65" s="9"/>
      <c r="Y65" s="9"/>
    </row>
    <row r="66">
      <c r="A66" s="10" t="s">
        <v>179</v>
      </c>
      <c r="B66" s="11">
        <v>45484.0</v>
      </c>
      <c r="C66" s="10" t="s">
        <v>116</v>
      </c>
      <c r="D66" s="10" t="s">
        <v>23</v>
      </c>
      <c r="E66" s="10" t="s">
        <v>99</v>
      </c>
      <c r="F66" s="10" t="s">
        <v>37</v>
      </c>
      <c r="G66" s="10" t="s">
        <v>93</v>
      </c>
      <c r="H66" s="10" t="s">
        <v>27</v>
      </c>
      <c r="I66" s="10">
        <v>1.0</v>
      </c>
      <c r="J66" s="10">
        <v>2999.0</v>
      </c>
      <c r="K66" s="10">
        <v>0.0</v>
      </c>
      <c r="L66" s="10" t="s">
        <v>45</v>
      </c>
      <c r="M66" s="10" t="s">
        <v>29</v>
      </c>
      <c r="N66" s="10" t="s">
        <v>70</v>
      </c>
      <c r="O66" s="10" t="s">
        <v>67</v>
      </c>
      <c r="P66" s="10" t="s">
        <v>62</v>
      </c>
      <c r="Q66" s="10"/>
      <c r="R66" s="7">
        <f t="shared" si="1"/>
        <v>2999</v>
      </c>
      <c r="S66" s="8">
        <f t="shared" si="2"/>
        <v>539.82</v>
      </c>
      <c r="T66" s="8">
        <f t="shared" si="3"/>
        <v>3538.82</v>
      </c>
      <c r="U66" s="8" t="str">
        <f t="shared" si="4"/>
        <v>Q3</v>
      </c>
      <c r="V66" s="9"/>
      <c r="W66" s="9"/>
      <c r="X66" s="9"/>
      <c r="Y66" s="9"/>
    </row>
    <row r="67">
      <c r="A67" s="10" t="s">
        <v>180</v>
      </c>
      <c r="B67" s="11">
        <v>45548.0</v>
      </c>
      <c r="C67" s="10" t="s">
        <v>53</v>
      </c>
      <c r="D67" s="10" t="s">
        <v>35</v>
      </c>
      <c r="E67" s="10" t="s">
        <v>128</v>
      </c>
      <c r="F67" s="10" t="s">
        <v>181</v>
      </c>
      <c r="G67" s="10" t="s">
        <v>38</v>
      </c>
      <c r="H67" s="10" t="s">
        <v>39</v>
      </c>
      <c r="I67" s="10">
        <v>3.0</v>
      </c>
      <c r="J67" s="10">
        <v>4999.0</v>
      </c>
      <c r="K67" s="10">
        <v>0.0</v>
      </c>
      <c r="L67" s="10" t="s">
        <v>28</v>
      </c>
      <c r="M67" s="10" t="s">
        <v>29</v>
      </c>
      <c r="N67" s="10" t="s">
        <v>89</v>
      </c>
      <c r="O67" s="10" t="s">
        <v>67</v>
      </c>
      <c r="P67" s="10" t="s">
        <v>32</v>
      </c>
      <c r="Q67" s="10"/>
      <c r="R67" s="7">
        <f t="shared" si="1"/>
        <v>14997</v>
      </c>
      <c r="S67" s="8">
        <f t="shared" si="2"/>
        <v>2287.677966</v>
      </c>
      <c r="T67" s="8">
        <f t="shared" si="3"/>
        <v>14997</v>
      </c>
      <c r="U67" s="8" t="str">
        <f t="shared" si="4"/>
        <v>Q3</v>
      </c>
      <c r="V67" s="9"/>
      <c r="W67" s="9"/>
      <c r="X67" s="9"/>
      <c r="Y67" s="9"/>
    </row>
    <row r="68">
      <c r="A68" s="10" t="s">
        <v>182</v>
      </c>
      <c r="B68" s="11">
        <v>45532.0</v>
      </c>
      <c r="C68" s="10" t="s">
        <v>183</v>
      </c>
      <c r="D68" s="10" t="s">
        <v>23</v>
      </c>
      <c r="E68" s="10" t="s">
        <v>73</v>
      </c>
      <c r="F68" s="10" t="s">
        <v>74</v>
      </c>
      <c r="G68" s="10" t="s">
        <v>106</v>
      </c>
      <c r="H68" s="10" t="s">
        <v>27</v>
      </c>
      <c r="I68" s="10">
        <v>1.0</v>
      </c>
      <c r="J68" s="10">
        <v>999.0</v>
      </c>
      <c r="K68" s="10">
        <v>10.0</v>
      </c>
      <c r="L68" s="10" t="s">
        <v>28</v>
      </c>
      <c r="M68" s="10" t="s">
        <v>29</v>
      </c>
      <c r="N68" s="10" t="s">
        <v>30</v>
      </c>
      <c r="O68" s="10" t="s">
        <v>41</v>
      </c>
      <c r="P68" s="10" t="s">
        <v>32</v>
      </c>
      <c r="Q68" s="11">
        <v>45897.0</v>
      </c>
      <c r="R68" s="7">
        <f t="shared" si="1"/>
        <v>899.1</v>
      </c>
      <c r="S68" s="8">
        <f t="shared" si="2"/>
        <v>137.1508475</v>
      </c>
      <c r="T68" s="8">
        <f t="shared" si="3"/>
        <v>899.1</v>
      </c>
      <c r="U68" s="8" t="str">
        <f t="shared" si="4"/>
        <v>Q3</v>
      </c>
      <c r="V68" s="9"/>
      <c r="W68" s="9"/>
      <c r="X68" s="9"/>
      <c r="Y68" s="9"/>
    </row>
    <row r="69">
      <c r="A69" s="10" t="s">
        <v>184</v>
      </c>
      <c r="B69" s="11">
        <v>45679.0</v>
      </c>
      <c r="C69" s="10" t="s">
        <v>64</v>
      </c>
      <c r="D69" s="10" t="s">
        <v>35</v>
      </c>
      <c r="E69" s="10" t="s">
        <v>85</v>
      </c>
      <c r="F69" s="10" t="s">
        <v>74</v>
      </c>
      <c r="G69" s="10" t="s">
        <v>66</v>
      </c>
      <c r="H69" s="10" t="s">
        <v>39</v>
      </c>
      <c r="I69" s="10">
        <v>1.0</v>
      </c>
      <c r="J69" s="10">
        <v>14999.0</v>
      </c>
      <c r="K69" s="10">
        <v>20.0</v>
      </c>
      <c r="L69" s="10" t="s">
        <v>28</v>
      </c>
      <c r="M69" s="10" t="s">
        <v>29</v>
      </c>
      <c r="N69" s="10" t="s">
        <v>30</v>
      </c>
      <c r="O69" s="10" t="s">
        <v>46</v>
      </c>
      <c r="P69" s="10" t="s">
        <v>32</v>
      </c>
      <c r="Q69" s="10"/>
      <c r="R69" s="7">
        <f t="shared" si="1"/>
        <v>11999.2</v>
      </c>
      <c r="S69" s="8">
        <f t="shared" si="2"/>
        <v>1830.386441</v>
      </c>
      <c r="T69" s="8">
        <f t="shared" si="3"/>
        <v>11999.2</v>
      </c>
      <c r="U69" s="8" t="str">
        <f t="shared" si="4"/>
        <v>Q1</v>
      </c>
      <c r="V69" s="9"/>
      <c r="W69" s="9"/>
      <c r="X69" s="9"/>
      <c r="Y69" s="9"/>
    </row>
    <row r="70">
      <c r="A70" s="10" t="s">
        <v>185</v>
      </c>
      <c r="B70" s="11">
        <v>45833.0</v>
      </c>
      <c r="C70" s="10" t="s">
        <v>183</v>
      </c>
      <c r="D70" s="10" t="s">
        <v>60</v>
      </c>
      <c r="E70" s="10" t="s">
        <v>61</v>
      </c>
      <c r="F70" s="10" t="s">
        <v>44</v>
      </c>
      <c r="G70" s="10" t="s">
        <v>55</v>
      </c>
      <c r="H70" s="10" t="s">
        <v>56</v>
      </c>
      <c r="I70" s="10">
        <v>5.0</v>
      </c>
      <c r="J70" s="10">
        <v>1499.0</v>
      </c>
      <c r="K70" s="10">
        <v>0.1</v>
      </c>
      <c r="L70" s="10" t="s">
        <v>28</v>
      </c>
      <c r="M70" s="10" t="s">
        <v>29</v>
      </c>
      <c r="N70" s="10" t="s">
        <v>30</v>
      </c>
      <c r="O70" s="10" t="s">
        <v>31</v>
      </c>
      <c r="P70" s="10" t="s">
        <v>62</v>
      </c>
      <c r="Q70" s="10"/>
      <c r="R70" s="7">
        <f t="shared" si="1"/>
        <v>7487.505</v>
      </c>
      <c r="S70" s="8">
        <f t="shared" si="2"/>
        <v>1142.16178</v>
      </c>
      <c r="T70" s="8">
        <f t="shared" si="3"/>
        <v>7487.505</v>
      </c>
      <c r="U70" s="8" t="str">
        <f t="shared" si="4"/>
        <v>Q2</v>
      </c>
      <c r="V70" s="9"/>
      <c r="W70" s="9"/>
      <c r="X70" s="9"/>
      <c r="Y70" s="9"/>
    </row>
    <row r="71">
      <c r="A71" s="10" t="s">
        <v>186</v>
      </c>
      <c r="B71" s="11">
        <v>45552.0</v>
      </c>
      <c r="C71" s="10" t="s">
        <v>157</v>
      </c>
      <c r="D71" s="10" t="s">
        <v>60</v>
      </c>
      <c r="E71" s="10" t="s">
        <v>102</v>
      </c>
      <c r="F71" s="10" t="s">
        <v>86</v>
      </c>
      <c r="G71" s="10" t="s">
        <v>106</v>
      </c>
      <c r="H71" s="10" t="s">
        <v>27</v>
      </c>
      <c r="I71" s="10">
        <v>1.0</v>
      </c>
      <c r="J71" s="10">
        <v>999.0</v>
      </c>
      <c r="K71" s="10">
        <v>0.0</v>
      </c>
      <c r="L71" s="10" t="s">
        <v>28</v>
      </c>
      <c r="M71" s="10" t="s">
        <v>29</v>
      </c>
      <c r="N71" s="10" t="s">
        <v>30</v>
      </c>
      <c r="O71" s="10" t="s">
        <v>41</v>
      </c>
      <c r="P71" s="10" t="s">
        <v>87</v>
      </c>
      <c r="Q71" s="10"/>
      <c r="R71" s="7">
        <f t="shared" si="1"/>
        <v>999</v>
      </c>
      <c r="S71" s="8">
        <f t="shared" si="2"/>
        <v>152.3898305</v>
      </c>
      <c r="T71" s="8">
        <f t="shared" si="3"/>
        <v>999</v>
      </c>
      <c r="U71" s="8" t="str">
        <f t="shared" si="4"/>
        <v>Q3</v>
      </c>
      <c r="V71" s="9"/>
      <c r="W71" s="9"/>
      <c r="X71" s="9"/>
      <c r="Y71" s="9"/>
    </row>
    <row r="72">
      <c r="A72" s="10" t="s">
        <v>187</v>
      </c>
      <c r="B72" s="11">
        <v>45621.0</v>
      </c>
      <c r="C72" s="10" t="s">
        <v>134</v>
      </c>
      <c r="D72" s="10" t="s">
        <v>23</v>
      </c>
      <c r="E72" s="10" t="s">
        <v>99</v>
      </c>
      <c r="F72" s="10" t="s">
        <v>86</v>
      </c>
      <c r="G72" s="10" t="s">
        <v>106</v>
      </c>
      <c r="H72" s="10" t="s">
        <v>27</v>
      </c>
      <c r="I72" s="10">
        <v>1.0</v>
      </c>
      <c r="J72" s="10">
        <v>999.0</v>
      </c>
      <c r="K72" s="10">
        <v>0.15</v>
      </c>
      <c r="L72" s="10" t="s">
        <v>28</v>
      </c>
      <c r="M72" s="10" t="s">
        <v>29</v>
      </c>
      <c r="N72" s="10" t="s">
        <v>30</v>
      </c>
      <c r="O72" s="10" t="s">
        <v>46</v>
      </c>
      <c r="P72" s="10" t="s">
        <v>32</v>
      </c>
      <c r="Q72" s="11">
        <v>45986.0</v>
      </c>
      <c r="R72" s="7">
        <f t="shared" si="1"/>
        <v>997.5015</v>
      </c>
      <c r="S72" s="8">
        <f t="shared" si="2"/>
        <v>152.1612458</v>
      </c>
      <c r="T72" s="8">
        <f t="shared" si="3"/>
        <v>997.5015</v>
      </c>
      <c r="U72" s="8" t="str">
        <f t="shared" si="4"/>
        <v>Q4</v>
      </c>
      <c r="V72" s="9"/>
      <c r="W72" s="9"/>
      <c r="X72" s="9"/>
      <c r="Y72" s="9"/>
    </row>
    <row r="73">
      <c r="A73" s="10" t="s">
        <v>188</v>
      </c>
      <c r="B73" s="11">
        <v>45792.0</v>
      </c>
      <c r="C73" s="10" t="s">
        <v>189</v>
      </c>
      <c r="D73" s="10" t="s">
        <v>23</v>
      </c>
      <c r="E73" s="10" t="s">
        <v>24</v>
      </c>
      <c r="F73" s="10" t="s">
        <v>37</v>
      </c>
      <c r="G73" s="10" t="s">
        <v>75</v>
      </c>
      <c r="H73" s="10" t="s">
        <v>56</v>
      </c>
      <c r="I73" s="10">
        <v>5.0</v>
      </c>
      <c r="J73" s="10">
        <v>799.0</v>
      </c>
      <c r="K73" s="10">
        <v>0.15</v>
      </c>
      <c r="L73" s="10" t="s">
        <v>28</v>
      </c>
      <c r="M73" s="10" t="s">
        <v>29</v>
      </c>
      <c r="N73" s="10" t="s">
        <v>57</v>
      </c>
      <c r="O73" s="10" t="s">
        <v>46</v>
      </c>
      <c r="P73" s="10" t="s">
        <v>47</v>
      </c>
      <c r="Q73" s="10"/>
      <c r="R73" s="7">
        <f t="shared" si="1"/>
        <v>3989.0075</v>
      </c>
      <c r="S73" s="8">
        <f t="shared" si="2"/>
        <v>608.4926695</v>
      </c>
      <c r="T73" s="8">
        <f t="shared" si="3"/>
        <v>3989.0075</v>
      </c>
      <c r="U73" s="8" t="str">
        <f t="shared" si="4"/>
        <v>Q2</v>
      </c>
      <c r="V73" s="9"/>
      <c r="W73" s="9"/>
      <c r="X73" s="9"/>
      <c r="Y73" s="9"/>
    </row>
    <row r="74">
      <c r="A74" s="10" t="s">
        <v>190</v>
      </c>
      <c r="B74" s="11">
        <v>45546.0</v>
      </c>
      <c r="C74" s="10" t="s">
        <v>134</v>
      </c>
      <c r="D74" s="10" t="s">
        <v>35</v>
      </c>
      <c r="E74" s="10" t="s">
        <v>36</v>
      </c>
      <c r="F74" s="10" t="s">
        <v>37</v>
      </c>
      <c r="G74" s="10" t="s">
        <v>26</v>
      </c>
      <c r="H74" s="10" t="s">
        <v>27</v>
      </c>
      <c r="I74" s="10">
        <v>1.0</v>
      </c>
      <c r="J74" s="10">
        <v>9999.0</v>
      </c>
      <c r="K74" s="10">
        <v>0.0</v>
      </c>
      <c r="L74" s="10" t="s">
        <v>45</v>
      </c>
      <c r="M74" s="10" t="s">
        <v>29</v>
      </c>
      <c r="N74" s="10" t="s">
        <v>30</v>
      </c>
      <c r="O74" s="10" t="s">
        <v>46</v>
      </c>
      <c r="P74" s="10" t="s">
        <v>62</v>
      </c>
      <c r="Q74" s="10"/>
      <c r="R74" s="7">
        <f t="shared" si="1"/>
        <v>9999</v>
      </c>
      <c r="S74" s="8">
        <f t="shared" si="2"/>
        <v>1799.82</v>
      </c>
      <c r="T74" s="8">
        <f t="shared" si="3"/>
        <v>11798.82</v>
      </c>
      <c r="U74" s="8" t="str">
        <f t="shared" si="4"/>
        <v>Q3</v>
      </c>
      <c r="V74" s="9"/>
      <c r="W74" s="9"/>
      <c r="X74" s="9"/>
      <c r="Y74" s="9"/>
    </row>
    <row r="75">
      <c r="A75" s="10" t="s">
        <v>191</v>
      </c>
      <c r="B75" s="11">
        <v>45819.0</v>
      </c>
      <c r="C75" s="10" t="s">
        <v>105</v>
      </c>
      <c r="D75" s="10" t="s">
        <v>35</v>
      </c>
      <c r="E75" s="10" t="s">
        <v>36</v>
      </c>
      <c r="F75" s="10" t="s">
        <v>117</v>
      </c>
      <c r="G75" s="10" t="s">
        <v>93</v>
      </c>
      <c r="H75" s="10" t="s">
        <v>27</v>
      </c>
      <c r="I75" s="10">
        <v>1.0</v>
      </c>
      <c r="J75" s="10">
        <v>2999.0</v>
      </c>
      <c r="K75" s="10">
        <v>15.0</v>
      </c>
      <c r="L75" s="10" t="s">
        <v>28</v>
      </c>
      <c r="M75" s="10" t="s">
        <v>29</v>
      </c>
      <c r="N75" s="10" t="s">
        <v>40</v>
      </c>
      <c r="O75" s="10" t="s">
        <v>41</v>
      </c>
      <c r="P75" s="10" t="s">
        <v>32</v>
      </c>
      <c r="Q75" s="11">
        <v>45909.0</v>
      </c>
      <c r="R75" s="7">
        <f t="shared" si="1"/>
        <v>2549.15</v>
      </c>
      <c r="S75" s="8">
        <f t="shared" si="2"/>
        <v>388.8533898</v>
      </c>
      <c r="T75" s="8">
        <f t="shared" si="3"/>
        <v>2549.15</v>
      </c>
      <c r="U75" s="8" t="str">
        <f t="shared" si="4"/>
        <v>Q2</v>
      </c>
      <c r="V75" s="9"/>
      <c r="W75" s="9"/>
      <c r="X75" s="9"/>
      <c r="Y75" s="9"/>
    </row>
    <row r="76">
      <c r="A76" s="10" t="s">
        <v>192</v>
      </c>
      <c r="B76" s="11">
        <v>45497.0</v>
      </c>
      <c r="C76" s="10" t="s">
        <v>59</v>
      </c>
      <c r="D76" s="10" t="s">
        <v>23</v>
      </c>
      <c r="E76" s="10" t="s">
        <v>24</v>
      </c>
      <c r="F76" s="10" t="s">
        <v>44</v>
      </c>
      <c r="G76" s="10" t="s">
        <v>66</v>
      </c>
      <c r="H76" s="10" t="s">
        <v>39</v>
      </c>
      <c r="I76" s="10">
        <v>3.0</v>
      </c>
      <c r="J76" s="10">
        <v>14999.0</v>
      </c>
      <c r="K76" s="10">
        <v>5.0</v>
      </c>
      <c r="L76" s="10" t="s">
        <v>28</v>
      </c>
      <c r="M76" s="10" t="s">
        <v>29</v>
      </c>
      <c r="N76" s="10" t="s">
        <v>30</v>
      </c>
      <c r="O76" s="10" t="s">
        <v>41</v>
      </c>
      <c r="P76" s="10" t="s">
        <v>32</v>
      </c>
      <c r="Q76" s="10"/>
      <c r="R76" s="7">
        <f t="shared" si="1"/>
        <v>42747.15</v>
      </c>
      <c r="S76" s="8">
        <f t="shared" si="2"/>
        <v>6520.751695</v>
      </c>
      <c r="T76" s="8">
        <f t="shared" si="3"/>
        <v>42747.15</v>
      </c>
      <c r="U76" s="8" t="str">
        <f t="shared" si="4"/>
        <v>Q3</v>
      </c>
      <c r="V76" s="9"/>
      <c r="W76" s="9"/>
      <c r="X76" s="9"/>
      <c r="Y76" s="9"/>
    </row>
    <row r="77">
      <c r="A77" s="10" t="s">
        <v>193</v>
      </c>
      <c r="B77" s="11">
        <v>45730.0</v>
      </c>
      <c r="C77" s="10" t="s">
        <v>101</v>
      </c>
      <c r="D77" s="10" t="s">
        <v>60</v>
      </c>
      <c r="E77" s="10" t="s">
        <v>122</v>
      </c>
      <c r="F77" s="10" t="s">
        <v>37</v>
      </c>
      <c r="G77" s="10" t="s">
        <v>26</v>
      </c>
      <c r="H77" s="10" t="s">
        <v>27</v>
      </c>
      <c r="I77" s="10">
        <v>1.0</v>
      </c>
      <c r="J77" s="10">
        <v>9999.0</v>
      </c>
      <c r="K77" s="10">
        <v>10.0</v>
      </c>
      <c r="L77" s="10" t="s">
        <v>28</v>
      </c>
      <c r="M77" s="10" t="s">
        <v>29</v>
      </c>
      <c r="N77" s="10" t="s">
        <v>114</v>
      </c>
      <c r="O77" s="10" t="s">
        <v>41</v>
      </c>
      <c r="P77" s="10" t="s">
        <v>32</v>
      </c>
      <c r="Q77" s="11">
        <v>45820.0</v>
      </c>
      <c r="R77" s="7">
        <f t="shared" si="1"/>
        <v>8999.1</v>
      </c>
      <c r="S77" s="8">
        <f t="shared" si="2"/>
        <v>1372.744068</v>
      </c>
      <c r="T77" s="8">
        <f t="shared" si="3"/>
        <v>8999.1</v>
      </c>
      <c r="U77" s="8" t="str">
        <f t="shared" si="4"/>
        <v>Q1</v>
      </c>
      <c r="V77" s="9"/>
      <c r="W77" s="9"/>
      <c r="X77" s="9"/>
      <c r="Y77" s="9"/>
    </row>
    <row r="78">
      <c r="A78" s="10" t="s">
        <v>194</v>
      </c>
      <c r="B78" s="11">
        <v>45561.0</v>
      </c>
      <c r="C78" s="10" t="s">
        <v>59</v>
      </c>
      <c r="D78" s="10" t="s">
        <v>60</v>
      </c>
      <c r="E78" s="10" t="s">
        <v>122</v>
      </c>
      <c r="F78" s="10" t="s">
        <v>65</v>
      </c>
      <c r="G78" s="10" t="s">
        <v>106</v>
      </c>
      <c r="H78" s="10" t="s">
        <v>27</v>
      </c>
      <c r="I78" s="10">
        <v>1.0</v>
      </c>
      <c r="J78" s="10">
        <v>999.0</v>
      </c>
      <c r="K78" s="10">
        <v>10.0</v>
      </c>
      <c r="L78" s="10" t="s">
        <v>45</v>
      </c>
      <c r="M78" s="10" t="s">
        <v>29</v>
      </c>
      <c r="N78" s="10" t="s">
        <v>30</v>
      </c>
      <c r="O78" s="10" t="s">
        <v>41</v>
      </c>
      <c r="P78" s="10" t="s">
        <v>32</v>
      </c>
      <c r="Q78" s="11">
        <v>45651.0</v>
      </c>
      <c r="R78" s="7">
        <f t="shared" si="1"/>
        <v>899.1</v>
      </c>
      <c r="S78" s="8">
        <f t="shared" si="2"/>
        <v>161.838</v>
      </c>
      <c r="T78" s="8">
        <f t="shared" si="3"/>
        <v>1060.938</v>
      </c>
      <c r="U78" s="8" t="str">
        <f t="shared" si="4"/>
        <v>Q3</v>
      </c>
      <c r="V78" s="9"/>
      <c r="W78" s="9"/>
      <c r="X78" s="9"/>
      <c r="Y78" s="9"/>
    </row>
    <row r="79">
      <c r="A79" s="10" t="s">
        <v>195</v>
      </c>
      <c r="B79" s="11">
        <v>45745.0</v>
      </c>
      <c r="C79" s="10" t="s">
        <v>105</v>
      </c>
      <c r="D79" s="10" t="s">
        <v>35</v>
      </c>
      <c r="E79" s="10" t="s">
        <v>128</v>
      </c>
      <c r="F79" s="10" t="s">
        <v>25</v>
      </c>
      <c r="G79" s="10" t="s">
        <v>106</v>
      </c>
      <c r="H79" s="10" t="s">
        <v>27</v>
      </c>
      <c r="I79" s="10">
        <v>1.0</v>
      </c>
      <c r="J79" s="10">
        <v>999.0</v>
      </c>
      <c r="K79" s="10">
        <v>10.0</v>
      </c>
      <c r="L79" s="10" t="s">
        <v>28</v>
      </c>
      <c r="M79" s="10" t="s">
        <v>29</v>
      </c>
      <c r="N79" s="10" t="s">
        <v>57</v>
      </c>
      <c r="O79" s="10" t="s">
        <v>46</v>
      </c>
      <c r="P79" s="10" t="s">
        <v>32</v>
      </c>
      <c r="Q79" s="11">
        <v>45775.0</v>
      </c>
      <c r="R79" s="7">
        <f t="shared" si="1"/>
        <v>899.1</v>
      </c>
      <c r="S79" s="8">
        <f t="shared" si="2"/>
        <v>137.1508475</v>
      </c>
      <c r="T79" s="8">
        <f t="shared" si="3"/>
        <v>899.1</v>
      </c>
      <c r="U79" s="8" t="str">
        <f t="shared" si="4"/>
        <v>Q1</v>
      </c>
      <c r="V79" s="9"/>
      <c r="W79" s="9"/>
      <c r="X79" s="9"/>
      <c r="Y79" s="9"/>
    </row>
    <row r="80">
      <c r="A80" s="10" t="s">
        <v>196</v>
      </c>
      <c r="B80" s="11">
        <v>45770.0</v>
      </c>
      <c r="C80" s="10" t="s">
        <v>141</v>
      </c>
      <c r="D80" s="10" t="s">
        <v>80</v>
      </c>
      <c r="E80" s="10" t="s">
        <v>151</v>
      </c>
      <c r="F80" s="10" t="s">
        <v>86</v>
      </c>
      <c r="G80" s="10" t="s">
        <v>26</v>
      </c>
      <c r="H80" s="10" t="s">
        <v>27</v>
      </c>
      <c r="I80" s="10">
        <v>1.0</v>
      </c>
      <c r="J80" s="10">
        <v>9999.0</v>
      </c>
      <c r="K80" s="10">
        <v>0.15</v>
      </c>
      <c r="L80" s="10" t="s">
        <v>28</v>
      </c>
      <c r="M80" s="10" t="s">
        <v>29</v>
      </c>
      <c r="N80" s="10" t="s">
        <v>57</v>
      </c>
      <c r="O80" s="10" t="s">
        <v>41</v>
      </c>
      <c r="P80" s="10" t="s">
        <v>77</v>
      </c>
      <c r="Q80" s="10"/>
      <c r="R80" s="7">
        <f t="shared" si="1"/>
        <v>9984.0015</v>
      </c>
      <c r="S80" s="8">
        <f t="shared" si="2"/>
        <v>1522.98328</v>
      </c>
      <c r="T80" s="8">
        <f t="shared" si="3"/>
        <v>9984.0015</v>
      </c>
      <c r="U80" s="8" t="str">
        <f t="shared" si="4"/>
        <v>Q2</v>
      </c>
      <c r="V80" s="9"/>
      <c r="W80" s="9"/>
      <c r="X80" s="9"/>
      <c r="Y80" s="9"/>
    </row>
    <row r="81">
      <c r="A81" s="10" t="s">
        <v>197</v>
      </c>
      <c r="B81" s="11">
        <v>45511.0</v>
      </c>
      <c r="C81" s="10" t="s">
        <v>131</v>
      </c>
      <c r="D81" s="10" t="s">
        <v>60</v>
      </c>
      <c r="E81" s="10" t="s">
        <v>61</v>
      </c>
      <c r="F81" s="10" t="s">
        <v>51</v>
      </c>
      <c r="G81" s="10" t="s">
        <v>38</v>
      </c>
      <c r="H81" s="10" t="s">
        <v>39</v>
      </c>
      <c r="I81" s="10">
        <v>-2.0</v>
      </c>
      <c r="J81" s="10">
        <v>4999.0</v>
      </c>
      <c r="K81" s="10">
        <v>10.0</v>
      </c>
      <c r="L81" s="10" t="s">
        <v>28</v>
      </c>
      <c r="M81" s="10" t="s">
        <v>29</v>
      </c>
      <c r="N81" s="10" t="s">
        <v>30</v>
      </c>
      <c r="O81" s="10" t="s">
        <v>31</v>
      </c>
      <c r="P81" s="10" t="s">
        <v>87</v>
      </c>
      <c r="Q81" s="10"/>
      <c r="R81" s="7">
        <f t="shared" si="1"/>
        <v>-8998.2</v>
      </c>
      <c r="S81" s="8">
        <f t="shared" si="2"/>
        <v>-1372.60678</v>
      </c>
      <c r="T81" s="8">
        <f t="shared" si="3"/>
        <v>-8998.2</v>
      </c>
      <c r="U81" s="8" t="str">
        <f t="shared" si="4"/>
        <v>Q3</v>
      </c>
      <c r="V81" s="9"/>
      <c r="W81" s="9"/>
      <c r="X81" s="9"/>
      <c r="Y81" s="9"/>
    </row>
    <row r="82">
      <c r="A82" s="10" t="s">
        <v>198</v>
      </c>
      <c r="B82" s="11">
        <v>45717.0</v>
      </c>
      <c r="C82" s="10" t="s">
        <v>125</v>
      </c>
      <c r="D82" s="10" t="s">
        <v>23</v>
      </c>
      <c r="E82" s="10" t="s">
        <v>99</v>
      </c>
      <c r="F82" s="10" t="s">
        <v>44</v>
      </c>
      <c r="G82" s="10" t="s">
        <v>38</v>
      </c>
      <c r="H82" s="10" t="s">
        <v>39</v>
      </c>
      <c r="I82" s="10">
        <v>1.0</v>
      </c>
      <c r="J82" s="10">
        <v>4999.0</v>
      </c>
      <c r="K82" s="10">
        <v>10.0</v>
      </c>
      <c r="L82" s="10" t="s">
        <v>28</v>
      </c>
      <c r="M82" s="10" t="s">
        <v>166</v>
      </c>
      <c r="N82" s="10" t="s">
        <v>30</v>
      </c>
      <c r="O82" s="10" t="s">
        <v>31</v>
      </c>
      <c r="P82" s="10" t="s">
        <v>47</v>
      </c>
      <c r="Q82" s="10"/>
      <c r="R82" s="7">
        <f t="shared" si="1"/>
        <v>4499.1</v>
      </c>
      <c r="S82" s="8">
        <f t="shared" si="2"/>
        <v>686.3033898</v>
      </c>
      <c r="T82" s="8">
        <f t="shared" si="3"/>
        <v>4499.1</v>
      </c>
      <c r="U82" s="8" t="str">
        <f t="shared" si="4"/>
        <v>Q1</v>
      </c>
      <c r="V82" s="9"/>
      <c r="W82" s="9"/>
      <c r="X82" s="9"/>
      <c r="Y82" s="9"/>
    </row>
    <row r="83">
      <c r="A83" s="10" t="s">
        <v>199</v>
      </c>
      <c r="B83" s="11">
        <v>45821.0</v>
      </c>
      <c r="C83" s="10" t="s">
        <v>34</v>
      </c>
      <c r="D83" s="10" t="s">
        <v>80</v>
      </c>
      <c r="E83" s="10" t="s">
        <v>81</v>
      </c>
      <c r="F83" s="10" t="s">
        <v>51</v>
      </c>
      <c r="G83" s="10" t="s">
        <v>106</v>
      </c>
      <c r="H83" s="10" t="s">
        <v>27</v>
      </c>
      <c r="I83" s="10">
        <v>1.0</v>
      </c>
      <c r="J83" s="10">
        <v>999.0</v>
      </c>
      <c r="K83" s="10">
        <v>10.0</v>
      </c>
      <c r="L83" s="10" t="s">
        <v>45</v>
      </c>
      <c r="M83" s="10" t="s">
        <v>29</v>
      </c>
      <c r="N83" s="10" t="s">
        <v>30</v>
      </c>
      <c r="O83" s="10" t="s">
        <v>67</v>
      </c>
      <c r="P83" s="10" t="s">
        <v>32</v>
      </c>
      <c r="Q83" s="11">
        <v>45911.0</v>
      </c>
      <c r="R83" s="7">
        <f t="shared" si="1"/>
        <v>899.1</v>
      </c>
      <c r="S83" s="8">
        <f t="shared" si="2"/>
        <v>161.838</v>
      </c>
      <c r="T83" s="8">
        <f t="shared" si="3"/>
        <v>1060.938</v>
      </c>
      <c r="U83" s="8" t="str">
        <f t="shared" si="4"/>
        <v>Q2</v>
      </c>
      <c r="V83" s="9"/>
      <c r="W83" s="9"/>
      <c r="X83" s="9"/>
      <c r="Y83" s="9"/>
    </row>
    <row r="84">
      <c r="A84" s="10" t="s">
        <v>200</v>
      </c>
      <c r="B84" s="11">
        <v>45517.0</v>
      </c>
      <c r="C84" s="10" t="s">
        <v>150</v>
      </c>
      <c r="D84" s="10" t="s">
        <v>80</v>
      </c>
      <c r="E84" s="10" t="s">
        <v>81</v>
      </c>
      <c r="F84" s="10" t="s">
        <v>201</v>
      </c>
      <c r="G84" s="10" t="s">
        <v>106</v>
      </c>
      <c r="H84" s="10" t="s">
        <v>27</v>
      </c>
      <c r="I84" s="10">
        <v>1.0</v>
      </c>
      <c r="J84" s="10">
        <v>999.0</v>
      </c>
      <c r="K84" s="10">
        <v>10.0</v>
      </c>
      <c r="L84" s="10" t="s">
        <v>45</v>
      </c>
      <c r="M84" s="10" t="s">
        <v>29</v>
      </c>
      <c r="N84" s="10" t="s">
        <v>57</v>
      </c>
      <c r="O84" s="10" t="s">
        <v>31</v>
      </c>
      <c r="P84" s="10" t="s">
        <v>87</v>
      </c>
      <c r="Q84" s="10"/>
      <c r="R84" s="7">
        <f t="shared" si="1"/>
        <v>899.1</v>
      </c>
      <c r="S84" s="8">
        <f t="shared" si="2"/>
        <v>161.838</v>
      </c>
      <c r="T84" s="8">
        <f t="shared" si="3"/>
        <v>1060.938</v>
      </c>
      <c r="U84" s="8" t="str">
        <f t="shared" si="4"/>
        <v>Q3</v>
      </c>
      <c r="V84" s="9"/>
      <c r="W84" s="9"/>
      <c r="X84" s="9"/>
      <c r="Y84" s="9"/>
    </row>
    <row r="85">
      <c r="A85" s="10" t="s">
        <v>202</v>
      </c>
      <c r="B85" s="11">
        <v>45722.0</v>
      </c>
      <c r="C85" s="10" t="s">
        <v>69</v>
      </c>
      <c r="D85" s="10" t="s">
        <v>35</v>
      </c>
      <c r="E85" s="10" t="s">
        <v>36</v>
      </c>
      <c r="F85" s="10" t="s">
        <v>148</v>
      </c>
      <c r="G85" s="10" t="s">
        <v>106</v>
      </c>
      <c r="H85" s="10" t="s">
        <v>27</v>
      </c>
      <c r="I85" s="10">
        <v>1.0</v>
      </c>
      <c r="J85" s="10">
        <v>999.0</v>
      </c>
      <c r="K85" s="10">
        <v>0.0</v>
      </c>
      <c r="L85" s="10" t="s">
        <v>45</v>
      </c>
      <c r="M85" s="10" t="s">
        <v>29</v>
      </c>
      <c r="N85" s="10" t="s">
        <v>30</v>
      </c>
      <c r="O85" s="10" t="s">
        <v>41</v>
      </c>
      <c r="P85" s="10" t="s">
        <v>32</v>
      </c>
      <c r="Q85" s="11">
        <v>46087.0</v>
      </c>
      <c r="R85" s="7">
        <f t="shared" si="1"/>
        <v>999</v>
      </c>
      <c r="S85" s="8">
        <f t="shared" si="2"/>
        <v>179.82</v>
      </c>
      <c r="T85" s="8">
        <f t="shared" si="3"/>
        <v>1178.82</v>
      </c>
      <c r="U85" s="8" t="str">
        <f t="shared" si="4"/>
        <v>Q1</v>
      </c>
      <c r="V85" s="9"/>
      <c r="W85" s="9"/>
      <c r="X85" s="9"/>
      <c r="Y85" s="9"/>
    </row>
    <row r="86">
      <c r="A86" s="10" t="s">
        <v>203</v>
      </c>
      <c r="B86" s="11">
        <v>45793.0</v>
      </c>
      <c r="C86" s="10" t="s">
        <v>134</v>
      </c>
      <c r="D86" s="10" t="s">
        <v>80</v>
      </c>
      <c r="E86" s="10" t="s">
        <v>92</v>
      </c>
      <c r="F86" s="10" t="s">
        <v>117</v>
      </c>
      <c r="G86" s="10" t="s">
        <v>26</v>
      </c>
      <c r="H86" s="10" t="s">
        <v>27</v>
      </c>
      <c r="I86" s="10">
        <v>1.0</v>
      </c>
      <c r="J86" s="10">
        <v>9999.0</v>
      </c>
      <c r="K86" s="10">
        <v>20.0</v>
      </c>
      <c r="L86" s="10" t="s">
        <v>28</v>
      </c>
      <c r="M86" s="10" t="s">
        <v>29</v>
      </c>
      <c r="N86" s="10" t="s">
        <v>40</v>
      </c>
      <c r="O86" s="10" t="s">
        <v>46</v>
      </c>
      <c r="P86" s="10" t="s">
        <v>32</v>
      </c>
      <c r="Q86" s="11">
        <v>46158.0</v>
      </c>
      <c r="R86" s="7">
        <f t="shared" si="1"/>
        <v>7999.2</v>
      </c>
      <c r="S86" s="8">
        <f t="shared" si="2"/>
        <v>1220.216949</v>
      </c>
      <c r="T86" s="8">
        <f t="shared" si="3"/>
        <v>7999.2</v>
      </c>
      <c r="U86" s="8" t="str">
        <f t="shared" si="4"/>
        <v>Q2</v>
      </c>
      <c r="V86" s="9"/>
      <c r="W86" s="9"/>
      <c r="X86" s="9"/>
      <c r="Y86" s="9"/>
    </row>
    <row r="87">
      <c r="A87" s="10" t="s">
        <v>204</v>
      </c>
      <c r="B87" s="11">
        <v>45821.0</v>
      </c>
      <c r="C87" s="10" t="s">
        <v>34</v>
      </c>
      <c r="D87" s="10" t="s">
        <v>80</v>
      </c>
      <c r="E87" s="10" t="s">
        <v>112</v>
      </c>
      <c r="F87" s="10" t="s">
        <v>86</v>
      </c>
      <c r="G87" s="10" t="s">
        <v>106</v>
      </c>
      <c r="H87" s="10" t="s">
        <v>27</v>
      </c>
      <c r="I87" s="10">
        <v>1.0</v>
      </c>
      <c r="J87" s="10">
        <v>999.0</v>
      </c>
      <c r="K87" s="10">
        <v>20.0</v>
      </c>
      <c r="L87" s="10" t="s">
        <v>45</v>
      </c>
      <c r="M87" s="10" t="s">
        <v>29</v>
      </c>
      <c r="N87" s="10" t="s">
        <v>40</v>
      </c>
      <c r="O87" s="10" t="s">
        <v>67</v>
      </c>
      <c r="P87" s="10" t="s">
        <v>62</v>
      </c>
      <c r="Q87" s="10"/>
      <c r="R87" s="7">
        <f t="shared" si="1"/>
        <v>799.2</v>
      </c>
      <c r="S87" s="8">
        <f t="shared" si="2"/>
        <v>143.856</v>
      </c>
      <c r="T87" s="8">
        <f t="shared" si="3"/>
        <v>943.056</v>
      </c>
      <c r="U87" s="8" t="str">
        <f t="shared" si="4"/>
        <v>Q2</v>
      </c>
      <c r="V87" s="9"/>
      <c r="W87" s="9"/>
      <c r="X87" s="9"/>
      <c r="Y87" s="9"/>
    </row>
    <row r="88">
      <c r="A88" s="10" t="s">
        <v>205</v>
      </c>
      <c r="B88" s="11">
        <v>45526.0</v>
      </c>
      <c r="C88" s="10" t="s">
        <v>206</v>
      </c>
      <c r="D88" s="10" t="s">
        <v>35</v>
      </c>
      <c r="E88" s="10" t="s">
        <v>36</v>
      </c>
      <c r="F88" s="10" t="s">
        <v>86</v>
      </c>
      <c r="G88" s="10" t="s">
        <v>66</v>
      </c>
      <c r="H88" s="10" t="s">
        <v>39</v>
      </c>
      <c r="I88" s="10">
        <v>3.0</v>
      </c>
      <c r="J88" s="10">
        <v>14999.0</v>
      </c>
      <c r="K88" s="10">
        <v>10.0</v>
      </c>
      <c r="L88" s="10" t="s">
        <v>45</v>
      </c>
      <c r="M88" s="10" t="s">
        <v>29</v>
      </c>
      <c r="N88" s="10" t="s">
        <v>30</v>
      </c>
      <c r="O88" s="10" t="s">
        <v>31</v>
      </c>
      <c r="P88" s="10" t="s">
        <v>32</v>
      </c>
      <c r="Q88" s="10"/>
      <c r="R88" s="7">
        <f t="shared" si="1"/>
        <v>40497.3</v>
      </c>
      <c r="S88" s="8">
        <f t="shared" si="2"/>
        <v>7289.514</v>
      </c>
      <c r="T88" s="8">
        <f t="shared" si="3"/>
        <v>47786.814</v>
      </c>
      <c r="U88" s="8" t="str">
        <f t="shared" si="4"/>
        <v>Q3</v>
      </c>
      <c r="V88" s="9"/>
      <c r="W88" s="9"/>
      <c r="X88" s="9"/>
      <c r="Y88" s="9"/>
    </row>
    <row r="89">
      <c r="A89" s="10" t="s">
        <v>207</v>
      </c>
      <c r="B89" s="11">
        <v>45665.0</v>
      </c>
      <c r="C89" s="10" t="s">
        <v>150</v>
      </c>
      <c r="D89" s="10" t="s">
        <v>80</v>
      </c>
      <c r="E89" s="10" t="s">
        <v>92</v>
      </c>
      <c r="F89" s="10" t="s">
        <v>65</v>
      </c>
      <c r="G89" s="10" t="s">
        <v>106</v>
      </c>
      <c r="H89" s="10" t="s">
        <v>27</v>
      </c>
      <c r="I89" s="10">
        <v>1.0</v>
      </c>
      <c r="J89" s="10">
        <v>999.0</v>
      </c>
      <c r="K89" s="10">
        <v>10.0</v>
      </c>
      <c r="L89" s="10" t="s">
        <v>28</v>
      </c>
      <c r="M89" s="10" t="s">
        <v>29</v>
      </c>
      <c r="N89" s="10" t="s">
        <v>40</v>
      </c>
      <c r="O89" s="10" t="s">
        <v>67</v>
      </c>
      <c r="P89" s="10" t="s">
        <v>32</v>
      </c>
      <c r="Q89" s="11">
        <v>45695.0</v>
      </c>
      <c r="R89" s="7">
        <f t="shared" si="1"/>
        <v>899.1</v>
      </c>
      <c r="S89" s="8">
        <f t="shared" si="2"/>
        <v>137.1508475</v>
      </c>
      <c r="T89" s="8">
        <f t="shared" si="3"/>
        <v>899.1</v>
      </c>
      <c r="U89" s="8" t="str">
        <f t="shared" si="4"/>
        <v>Q1</v>
      </c>
      <c r="V89" s="9"/>
      <c r="W89" s="9"/>
      <c r="X89" s="9"/>
      <c r="Y89" s="9"/>
    </row>
    <row r="90">
      <c r="A90" s="10" t="s">
        <v>208</v>
      </c>
      <c r="B90" s="10" t="s">
        <v>209</v>
      </c>
      <c r="C90" s="10" t="s">
        <v>147</v>
      </c>
      <c r="D90" s="10" t="s">
        <v>60</v>
      </c>
      <c r="E90" s="10" t="s">
        <v>110</v>
      </c>
      <c r="F90" s="10"/>
      <c r="G90" s="10" t="s">
        <v>38</v>
      </c>
      <c r="H90" s="10" t="s">
        <v>39</v>
      </c>
      <c r="I90" s="10">
        <v>1.0</v>
      </c>
      <c r="J90" s="10">
        <v>4999.0</v>
      </c>
      <c r="K90" s="10">
        <v>0.1</v>
      </c>
      <c r="L90" s="10" t="s">
        <v>28</v>
      </c>
      <c r="M90" s="10" t="s">
        <v>29</v>
      </c>
      <c r="N90" s="10" t="s">
        <v>57</v>
      </c>
      <c r="O90" s="10" t="s">
        <v>67</v>
      </c>
      <c r="P90" s="10" t="s">
        <v>47</v>
      </c>
      <c r="Q90" s="10"/>
      <c r="R90" s="7">
        <f t="shared" si="1"/>
        <v>4994.001</v>
      </c>
      <c r="S90" s="8">
        <f t="shared" si="2"/>
        <v>761.7967627</v>
      </c>
      <c r="T90" s="8">
        <f t="shared" si="3"/>
        <v>4994.001</v>
      </c>
      <c r="U90" s="8" t="str">
        <f t="shared" si="4"/>
        <v>Q4</v>
      </c>
      <c r="V90" s="9"/>
      <c r="W90" s="9"/>
      <c r="X90" s="9"/>
      <c r="Y90" s="9"/>
    </row>
    <row r="91">
      <c r="A91" s="10" t="s">
        <v>210</v>
      </c>
      <c r="B91" s="11">
        <v>45506.0</v>
      </c>
      <c r="C91" s="10" t="s">
        <v>105</v>
      </c>
      <c r="D91" s="10" t="s">
        <v>23</v>
      </c>
      <c r="E91" s="10" t="s">
        <v>83</v>
      </c>
      <c r="F91" s="10" t="s">
        <v>86</v>
      </c>
      <c r="G91" s="10" t="s">
        <v>26</v>
      </c>
      <c r="H91" s="10" t="s">
        <v>27</v>
      </c>
      <c r="I91" s="10">
        <v>1.0</v>
      </c>
      <c r="J91" s="10">
        <v>9999.0</v>
      </c>
      <c r="K91" s="10">
        <v>0.15</v>
      </c>
      <c r="L91" s="10" t="s">
        <v>28</v>
      </c>
      <c r="M91" s="10" t="s">
        <v>29</v>
      </c>
      <c r="N91" s="10" t="s">
        <v>57</v>
      </c>
      <c r="O91" s="10" t="s">
        <v>46</v>
      </c>
      <c r="P91" s="10" t="s">
        <v>32</v>
      </c>
      <c r="Q91" s="11">
        <v>45596.0</v>
      </c>
      <c r="R91" s="7">
        <f t="shared" si="1"/>
        <v>9984.0015</v>
      </c>
      <c r="S91" s="8">
        <f t="shared" si="2"/>
        <v>1522.98328</v>
      </c>
      <c r="T91" s="8">
        <f t="shared" si="3"/>
        <v>9984.0015</v>
      </c>
      <c r="U91" s="8" t="str">
        <f t="shared" si="4"/>
        <v>Q3</v>
      </c>
      <c r="V91" s="9"/>
      <c r="W91" s="9"/>
      <c r="X91" s="9"/>
      <c r="Y91" s="9"/>
    </row>
    <row r="92">
      <c r="A92" s="10" t="s">
        <v>211</v>
      </c>
      <c r="B92" s="11">
        <v>45742.0</v>
      </c>
      <c r="C92" s="10" t="s">
        <v>101</v>
      </c>
      <c r="D92" s="10" t="s">
        <v>35</v>
      </c>
      <c r="E92" s="10" t="s">
        <v>128</v>
      </c>
      <c r="F92" s="10" t="s">
        <v>212</v>
      </c>
      <c r="G92" s="10" t="s">
        <v>75</v>
      </c>
      <c r="H92" s="10" t="s">
        <v>56</v>
      </c>
      <c r="I92" s="10">
        <v>1.0</v>
      </c>
      <c r="J92" s="10">
        <v>799.0</v>
      </c>
      <c r="K92" s="10">
        <v>0.1</v>
      </c>
      <c r="L92" s="10" t="s">
        <v>45</v>
      </c>
      <c r="M92" s="10" t="s">
        <v>29</v>
      </c>
      <c r="N92" s="10" t="s">
        <v>57</v>
      </c>
      <c r="O92" s="10" t="s">
        <v>41</v>
      </c>
      <c r="P92" s="10" t="s">
        <v>32</v>
      </c>
      <c r="Q92" s="10"/>
      <c r="R92" s="7">
        <f t="shared" si="1"/>
        <v>798.201</v>
      </c>
      <c r="S92" s="8">
        <f t="shared" si="2"/>
        <v>143.67618</v>
      </c>
      <c r="T92" s="8">
        <f t="shared" si="3"/>
        <v>941.87718</v>
      </c>
      <c r="U92" s="8" t="str">
        <f t="shared" si="4"/>
        <v>Q1</v>
      </c>
      <c r="V92" s="9"/>
      <c r="W92" s="9"/>
      <c r="X92" s="9"/>
      <c r="Y92" s="9"/>
    </row>
    <row r="93">
      <c r="A93" s="10" t="s">
        <v>213</v>
      </c>
      <c r="B93" s="11">
        <v>45597.0</v>
      </c>
      <c r="C93" s="10" t="s">
        <v>43</v>
      </c>
      <c r="D93" s="10" t="s">
        <v>35</v>
      </c>
      <c r="E93" s="10" t="s">
        <v>50</v>
      </c>
      <c r="F93" s="10" t="s">
        <v>65</v>
      </c>
      <c r="G93" s="10" t="s">
        <v>66</v>
      </c>
      <c r="H93" s="10" t="s">
        <v>39</v>
      </c>
      <c r="I93" s="10">
        <v>5.0</v>
      </c>
      <c r="J93" s="10">
        <v>14999.0</v>
      </c>
      <c r="K93" s="10">
        <v>0.15</v>
      </c>
      <c r="L93" s="10" t="s">
        <v>28</v>
      </c>
      <c r="M93" s="10" t="s">
        <v>29</v>
      </c>
      <c r="N93" s="10" t="s">
        <v>94</v>
      </c>
      <c r="O93" s="10" t="s">
        <v>67</v>
      </c>
      <c r="P93" s="10" t="s">
        <v>62</v>
      </c>
      <c r="Q93" s="10"/>
      <c r="R93" s="7">
        <f t="shared" si="1"/>
        <v>74882.5075</v>
      </c>
      <c r="S93" s="8">
        <f t="shared" si="2"/>
        <v>11422.75538</v>
      </c>
      <c r="T93" s="8">
        <f t="shared" si="3"/>
        <v>74882.5075</v>
      </c>
      <c r="U93" s="8" t="str">
        <f t="shared" si="4"/>
        <v>Q4</v>
      </c>
      <c r="V93" s="9"/>
      <c r="W93" s="9"/>
      <c r="X93" s="9"/>
      <c r="Y93" s="9"/>
    </row>
    <row r="94">
      <c r="A94" s="10" t="s">
        <v>214</v>
      </c>
      <c r="B94" s="10" t="s">
        <v>215</v>
      </c>
      <c r="C94" s="10" t="s">
        <v>125</v>
      </c>
      <c r="D94" s="10" t="s">
        <v>60</v>
      </c>
      <c r="E94" s="10" t="s">
        <v>110</v>
      </c>
      <c r="F94" s="10" t="s">
        <v>25</v>
      </c>
      <c r="G94" s="10" t="s">
        <v>38</v>
      </c>
      <c r="H94" s="10" t="s">
        <v>39</v>
      </c>
      <c r="I94" s="10">
        <v>1.0</v>
      </c>
      <c r="J94" s="10">
        <v>4999.0</v>
      </c>
      <c r="K94" s="10">
        <v>5.0</v>
      </c>
      <c r="L94" s="10" t="s">
        <v>45</v>
      </c>
      <c r="M94" s="10" t="s">
        <v>29</v>
      </c>
      <c r="N94" s="10" t="s">
        <v>40</v>
      </c>
      <c r="O94" s="10" t="s">
        <v>31</v>
      </c>
      <c r="P94" s="10" t="s">
        <v>87</v>
      </c>
      <c r="Q94" s="10"/>
      <c r="R94" s="7">
        <f t="shared" si="1"/>
        <v>4749.05</v>
      </c>
      <c r="S94" s="8">
        <f t="shared" si="2"/>
        <v>854.829</v>
      </c>
      <c r="T94" s="8">
        <f t="shared" si="3"/>
        <v>5603.879</v>
      </c>
      <c r="U94" s="8" t="str">
        <f t="shared" si="4"/>
        <v>Q1</v>
      </c>
      <c r="V94" s="9"/>
      <c r="W94" s="9"/>
      <c r="X94" s="9"/>
      <c r="Y94" s="9"/>
    </row>
    <row r="95">
      <c r="A95" s="10" t="s">
        <v>216</v>
      </c>
      <c r="B95" s="11">
        <v>45809.0</v>
      </c>
      <c r="C95" s="10" t="s">
        <v>119</v>
      </c>
      <c r="D95" s="10" t="s">
        <v>23</v>
      </c>
      <c r="E95" s="10" t="s">
        <v>73</v>
      </c>
      <c r="F95" s="10" t="s">
        <v>51</v>
      </c>
      <c r="G95" s="10" t="s">
        <v>106</v>
      </c>
      <c r="H95" s="10" t="s">
        <v>27</v>
      </c>
      <c r="I95" s="10">
        <v>1.0</v>
      </c>
      <c r="J95" s="10">
        <v>999.0</v>
      </c>
      <c r="K95" s="10">
        <v>10.0</v>
      </c>
      <c r="L95" s="10" t="s">
        <v>45</v>
      </c>
      <c r="M95" s="10" t="s">
        <v>29</v>
      </c>
      <c r="N95" s="10" t="s">
        <v>40</v>
      </c>
      <c r="O95" s="10" t="s">
        <v>67</v>
      </c>
      <c r="P95" s="10" t="s">
        <v>32</v>
      </c>
      <c r="Q95" s="11">
        <v>45899.0</v>
      </c>
      <c r="R95" s="7">
        <f t="shared" si="1"/>
        <v>899.1</v>
      </c>
      <c r="S95" s="8">
        <f t="shared" si="2"/>
        <v>161.838</v>
      </c>
      <c r="T95" s="8">
        <f t="shared" si="3"/>
        <v>1060.938</v>
      </c>
      <c r="U95" s="8" t="str">
        <f t="shared" si="4"/>
        <v>Q2</v>
      </c>
      <c r="V95" s="9"/>
      <c r="W95" s="9"/>
      <c r="X95" s="9"/>
      <c r="Y95" s="9"/>
    </row>
    <row r="96">
      <c r="A96" s="10" t="s">
        <v>217</v>
      </c>
      <c r="B96" s="11">
        <v>45782.0</v>
      </c>
      <c r="C96" s="10" t="s">
        <v>161</v>
      </c>
      <c r="D96" s="10" t="s">
        <v>35</v>
      </c>
      <c r="E96" s="10" t="s">
        <v>50</v>
      </c>
      <c r="F96" s="10" t="s">
        <v>65</v>
      </c>
      <c r="G96" s="10" t="s">
        <v>38</v>
      </c>
      <c r="H96" s="10" t="s">
        <v>39</v>
      </c>
      <c r="I96" s="10">
        <v>1.0</v>
      </c>
      <c r="J96" s="10">
        <v>4999.0</v>
      </c>
      <c r="K96" s="10">
        <v>10.0</v>
      </c>
      <c r="L96" s="10" t="s">
        <v>28</v>
      </c>
      <c r="M96" s="10" t="s">
        <v>29</v>
      </c>
      <c r="N96" s="10" t="s">
        <v>40</v>
      </c>
      <c r="O96" s="10" t="s">
        <v>31</v>
      </c>
      <c r="P96" s="10" t="s">
        <v>32</v>
      </c>
      <c r="Q96" s="10"/>
      <c r="R96" s="7">
        <f t="shared" si="1"/>
        <v>4499.1</v>
      </c>
      <c r="S96" s="8">
        <f t="shared" si="2"/>
        <v>686.3033898</v>
      </c>
      <c r="T96" s="8">
        <f t="shared" si="3"/>
        <v>4499.1</v>
      </c>
      <c r="U96" s="8" t="str">
        <f t="shared" si="4"/>
        <v>Q2</v>
      </c>
      <c r="V96" s="9"/>
      <c r="W96" s="9"/>
      <c r="X96" s="9"/>
      <c r="Y96" s="9"/>
    </row>
    <row r="97">
      <c r="A97" s="10" t="s">
        <v>218</v>
      </c>
      <c r="B97" s="11">
        <v>45788.0</v>
      </c>
      <c r="C97" s="10" t="s">
        <v>49</v>
      </c>
      <c r="D97" s="10" t="s">
        <v>60</v>
      </c>
      <c r="E97" s="10" t="s">
        <v>61</v>
      </c>
      <c r="F97" s="10" t="s">
        <v>65</v>
      </c>
      <c r="G97" s="10" t="s">
        <v>55</v>
      </c>
      <c r="H97" s="10" t="s">
        <v>56</v>
      </c>
      <c r="I97" s="10">
        <v>1.0</v>
      </c>
      <c r="J97" s="10">
        <v>1499.0</v>
      </c>
      <c r="K97" s="10">
        <v>0.0</v>
      </c>
      <c r="L97" s="10" t="s">
        <v>45</v>
      </c>
      <c r="M97" s="10" t="s">
        <v>29</v>
      </c>
      <c r="N97" s="10" t="s">
        <v>57</v>
      </c>
      <c r="O97" s="10" t="s">
        <v>67</v>
      </c>
      <c r="P97" s="10" t="s">
        <v>32</v>
      </c>
      <c r="Q97" s="10"/>
      <c r="R97" s="7">
        <f t="shared" si="1"/>
        <v>1499</v>
      </c>
      <c r="S97" s="8">
        <f t="shared" si="2"/>
        <v>269.82</v>
      </c>
      <c r="T97" s="8">
        <f t="shared" si="3"/>
        <v>1768.82</v>
      </c>
      <c r="U97" s="8" t="str">
        <f t="shared" si="4"/>
        <v>Q2</v>
      </c>
      <c r="V97" s="9"/>
      <c r="W97" s="9"/>
      <c r="X97" s="9"/>
      <c r="Y97" s="9"/>
    </row>
    <row r="98">
      <c r="A98" s="10" t="s">
        <v>219</v>
      </c>
      <c r="B98" s="11">
        <v>45661.0</v>
      </c>
      <c r="C98" s="10" t="s">
        <v>220</v>
      </c>
      <c r="D98" s="10" t="s">
        <v>80</v>
      </c>
      <c r="E98" s="10" t="s">
        <v>92</v>
      </c>
      <c r="F98" s="10" t="s">
        <v>25</v>
      </c>
      <c r="G98" s="10" t="s">
        <v>93</v>
      </c>
      <c r="H98" s="10" t="s">
        <v>27</v>
      </c>
      <c r="I98" s="10">
        <v>1.0</v>
      </c>
      <c r="J98" s="10">
        <v>2999.0</v>
      </c>
      <c r="K98" s="10">
        <v>0.0</v>
      </c>
      <c r="L98" s="10" t="s">
        <v>28</v>
      </c>
      <c r="M98" s="10" t="s">
        <v>29</v>
      </c>
      <c r="N98" s="10" t="s">
        <v>57</v>
      </c>
      <c r="O98" s="10" t="s">
        <v>41</v>
      </c>
      <c r="P98" s="10" t="s">
        <v>77</v>
      </c>
      <c r="Q98" s="10"/>
      <c r="R98" s="7">
        <f t="shared" si="1"/>
        <v>2999</v>
      </c>
      <c r="S98" s="8">
        <f t="shared" si="2"/>
        <v>457.4745763</v>
      </c>
      <c r="T98" s="8">
        <f t="shared" si="3"/>
        <v>2999</v>
      </c>
      <c r="U98" s="8" t="str">
        <f t="shared" si="4"/>
        <v>Q1</v>
      </c>
      <c r="V98" s="9"/>
      <c r="W98" s="9"/>
      <c r="X98" s="9"/>
      <c r="Y98" s="9"/>
    </row>
    <row r="99">
      <c r="A99" s="10" t="s">
        <v>221</v>
      </c>
      <c r="B99" s="11">
        <v>45569.0</v>
      </c>
      <c r="C99" s="10" t="s">
        <v>206</v>
      </c>
      <c r="D99" s="10" t="s">
        <v>35</v>
      </c>
      <c r="E99" s="10" t="s">
        <v>85</v>
      </c>
      <c r="F99" s="10" t="s">
        <v>148</v>
      </c>
      <c r="G99" s="10" t="s">
        <v>106</v>
      </c>
      <c r="H99" s="10" t="s">
        <v>27</v>
      </c>
      <c r="I99" s="10">
        <v>1.0</v>
      </c>
      <c r="J99" s="10">
        <v>999.0</v>
      </c>
      <c r="K99" s="10">
        <v>0.1</v>
      </c>
      <c r="L99" s="10" t="s">
        <v>28</v>
      </c>
      <c r="M99" s="10" t="s">
        <v>29</v>
      </c>
      <c r="N99" s="10" t="s">
        <v>40</v>
      </c>
      <c r="O99" s="10" t="s">
        <v>46</v>
      </c>
      <c r="P99" s="10" t="s">
        <v>32</v>
      </c>
      <c r="Q99" s="11">
        <v>45934.0</v>
      </c>
      <c r="R99" s="7">
        <f t="shared" si="1"/>
        <v>998.001</v>
      </c>
      <c r="S99" s="8">
        <f t="shared" si="2"/>
        <v>152.2374407</v>
      </c>
      <c r="T99" s="8">
        <f t="shared" si="3"/>
        <v>998.001</v>
      </c>
      <c r="U99" s="8" t="str">
        <f t="shared" si="4"/>
        <v>Q4</v>
      </c>
      <c r="V99" s="9"/>
      <c r="W99" s="9"/>
      <c r="X99" s="9"/>
      <c r="Y99" s="9"/>
    </row>
    <row r="100">
      <c r="A100" s="10" t="s">
        <v>222</v>
      </c>
      <c r="B100" s="11">
        <v>45701.0</v>
      </c>
      <c r="C100" s="10" t="s">
        <v>161</v>
      </c>
      <c r="D100" s="10" t="s">
        <v>80</v>
      </c>
      <c r="E100" s="10" t="s">
        <v>151</v>
      </c>
      <c r="F100" s="10" t="s">
        <v>65</v>
      </c>
      <c r="G100" s="10" t="s">
        <v>26</v>
      </c>
      <c r="H100" s="10" t="s">
        <v>27</v>
      </c>
      <c r="I100" s="10">
        <v>1.0</v>
      </c>
      <c r="J100" s="10">
        <v>9999.0</v>
      </c>
      <c r="K100" s="10">
        <v>10.0</v>
      </c>
      <c r="L100" s="10" t="s">
        <v>45</v>
      </c>
      <c r="M100" s="10" t="s">
        <v>29</v>
      </c>
      <c r="N100" s="10" t="s">
        <v>114</v>
      </c>
      <c r="O100" s="10" t="s">
        <v>46</v>
      </c>
      <c r="P100" s="10" t="s">
        <v>77</v>
      </c>
      <c r="Q100" s="10"/>
      <c r="R100" s="7">
        <f t="shared" si="1"/>
        <v>8999.1</v>
      </c>
      <c r="S100" s="8">
        <f t="shared" si="2"/>
        <v>1619.838</v>
      </c>
      <c r="T100" s="8">
        <f t="shared" si="3"/>
        <v>10618.938</v>
      </c>
      <c r="U100" s="8" t="str">
        <f t="shared" si="4"/>
        <v>Q1</v>
      </c>
      <c r="V100" s="9"/>
      <c r="W100" s="9"/>
      <c r="X100" s="9"/>
      <c r="Y100" s="9"/>
    </row>
    <row r="101">
      <c r="A101" s="10" t="s">
        <v>223</v>
      </c>
      <c r="B101" s="11">
        <v>45545.0</v>
      </c>
      <c r="C101" s="10" t="s">
        <v>49</v>
      </c>
      <c r="D101" s="10" t="s">
        <v>80</v>
      </c>
      <c r="E101" s="10" t="s">
        <v>81</v>
      </c>
      <c r="F101" s="10" t="s">
        <v>25</v>
      </c>
      <c r="G101" s="10" t="s">
        <v>75</v>
      </c>
      <c r="H101" s="10" t="s">
        <v>56</v>
      </c>
      <c r="I101" s="10">
        <v>-2.0</v>
      </c>
      <c r="J101" s="10">
        <v>799.0</v>
      </c>
      <c r="K101" s="10">
        <v>0.1</v>
      </c>
      <c r="L101" s="10" t="s">
        <v>45</v>
      </c>
      <c r="M101" s="10" t="s">
        <v>29</v>
      </c>
      <c r="N101" s="10" t="s">
        <v>40</v>
      </c>
      <c r="O101" s="10" t="s">
        <v>41</v>
      </c>
      <c r="P101" s="12" t="s">
        <v>77</v>
      </c>
      <c r="Q101" s="10"/>
      <c r="R101" s="7">
        <f t="shared" si="1"/>
        <v>-1596.402</v>
      </c>
      <c r="S101" s="8">
        <f t="shared" si="2"/>
        <v>-287.35236</v>
      </c>
      <c r="T101" s="8">
        <f t="shared" si="3"/>
        <v>-1883.75436</v>
      </c>
      <c r="U101" s="8" t="str">
        <f t="shared" si="4"/>
        <v>Q3</v>
      </c>
      <c r="V101" s="9"/>
      <c r="W101" s="9"/>
      <c r="X101" s="9"/>
      <c r="Y101" s="9"/>
    </row>
    <row r="102">
      <c r="A102" s="10" t="s">
        <v>224</v>
      </c>
      <c r="B102" s="11">
        <v>45768.0</v>
      </c>
      <c r="C102" s="10" t="s">
        <v>225</v>
      </c>
      <c r="D102" s="10" t="s">
        <v>35</v>
      </c>
      <c r="E102" s="10" t="s">
        <v>85</v>
      </c>
      <c r="F102" s="10" t="s">
        <v>86</v>
      </c>
      <c r="G102" s="10" t="s">
        <v>66</v>
      </c>
      <c r="H102" s="10" t="s">
        <v>39</v>
      </c>
      <c r="I102" s="10">
        <v>1.0</v>
      </c>
      <c r="J102" s="10">
        <v>14999.0</v>
      </c>
      <c r="K102" s="10">
        <v>20.0</v>
      </c>
      <c r="L102" s="10" t="s">
        <v>45</v>
      </c>
      <c r="M102" s="10" t="s">
        <v>29</v>
      </c>
      <c r="N102" s="10" t="s">
        <v>57</v>
      </c>
      <c r="O102" s="10" t="s">
        <v>67</v>
      </c>
      <c r="P102" s="10" t="s">
        <v>32</v>
      </c>
      <c r="Q102" s="10"/>
      <c r="R102" s="7">
        <f t="shared" si="1"/>
        <v>11999.2</v>
      </c>
      <c r="S102" s="8">
        <f t="shared" si="2"/>
        <v>2159.856</v>
      </c>
      <c r="T102" s="8">
        <f t="shared" si="3"/>
        <v>14159.056</v>
      </c>
      <c r="U102" s="8" t="str">
        <f t="shared" si="4"/>
        <v>Q2</v>
      </c>
      <c r="V102" s="9"/>
      <c r="W102" s="9"/>
      <c r="X102" s="9"/>
      <c r="Y102" s="9"/>
    </row>
    <row r="103">
      <c r="A103" s="10" t="s">
        <v>226</v>
      </c>
      <c r="B103" s="11">
        <v>45556.0</v>
      </c>
      <c r="C103" s="10" t="s">
        <v>206</v>
      </c>
      <c r="D103" s="10" t="s">
        <v>60</v>
      </c>
      <c r="E103" s="10" t="s">
        <v>102</v>
      </c>
      <c r="F103" s="10" t="s">
        <v>65</v>
      </c>
      <c r="G103" s="10" t="s">
        <v>38</v>
      </c>
      <c r="H103" s="10" t="s">
        <v>39</v>
      </c>
      <c r="I103" s="10">
        <v>5.0</v>
      </c>
      <c r="J103" s="10">
        <v>4999.0</v>
      </c>
      <c r="K103" s="10">
        <v>0.1</v>
      </c>
      <c r="L103" s="10" t="s">
        <v>45</v>
      </c>
      <c r="M103" s="10" t="s">
        <v>29</v>
      </c>
      <c r="N103" s="10" t="s">
        <v>30</v>
      </c>
      <c r="O103" s="10" t="s">
        <v>46</v>
      </c>
      <c r="P103" s="10" t="s">
        <v>87</v>
      </c>
      <c r="Q103" s="10"/>
      <c r="R103" s="7">
        <f t="shared" si="1"/>
        <v>24970.005</v>
      </c>
      <c r="S103" s="8">
        <f t="shared" si="2"/>
        <v>4494.6009</v>
      </c>
      <c r="T103" s="8">
        <f t="shared" si="3"/>
        <v>29464.6059</v>
      </c>
      <c r="U103" s="8" t="str">
        <f t="shared" si="4"/>
        <v>Q3</v>
      </c>
      <c r="V103" s="9"/>
      <c r="W103" s="9"/>
      <c r="X103" s="9"/>
      <c r="Y103" s="9"/>
    </row>
    <row r="104">
      <c r="A104" s="10" t="s">
        <v>227</v>
      </c>
      <c r="B104" s="11">
        <v>45783.0</v>
      </c>
      <c r="C104" s="10" t="s">
        <v>96</v>
      </c>
      <c r="D104" s="10" t="s">
        <v>23</v>
      </c>
      <c r="E104" s="10" t="s">
        <v>73</v>
      </c>
      <c r="F104" s="10" t="s">
        <v>103</v>
      </c>
      <c r="G104" s="10" t="s">
        <v>75</v>
      </c>
      <c r="H104" s="10" t="s">
        <v>56</v>
      </c>
      <c r="I104" s="10">
        <v>3.0</v>
      </c>
      <c r="J104" s="10">
        <v>799.0</v>
      </c>
      <c r="K104" s="10">
        <v>0.0</v>
      </c>
      <c r="L104" s="10" t="s">
        <v>28</v>
      </c>
      <c r="M104" s="10" t="s">
        <v>29</v>
      </c>
      <c r="N104" s="10" t="s">
        <v>57</v>
      </c>
      <c r="O104" s="10" t="s">
        <v>31</v>
      </c>
      <c r="P104" s="10" t="s">
        <v>32</v>
      </c>
      <c r="Q104" s="10"/>
      <c r="R104" s="7">
        <f t="shared" si="1"/>
        <v>2397</v>
      </c>
      <c r="S104" s="8">
        <f t="shared" si="2"/>
        <v>365.6440678</v>
      </c>
      <c r="T104" s="8">
        <f t="shared" si="3"/>
        <v>2397</v>
      </c>
      <c r="U104" s="8" t="str">
        <f t="shared" si="4"/>
        <v>Q2</v>
      </c>
      <c r="V104" s="9"/>
      <c r="W104" s="9"/>
      <c r="X104" s="9"/>
      <c r="Y104" s="9"/>
    </row>
    <row r="105">
      <c r="A105" s="10" t="s">
        <v>228</v>
      </c>
      <c r="B105" s="11">
        <v>45824.0</v>
      </c>
      <c r="C105" s="10" t="s">
        <v>220</v>
      </c>
      <c r="D105" s="10" t="s">
        <v>60</v>
      </c>
      <c r="E105" s="10" t="s">
        <v>61</v>
      </c>
      <c r="F105" s="10" t="s">
        <v>51</v>
      </c>
      <c r="G105" s="10" t="s">
        <v>66</v>
      </c>
      <c r="H105" s="10" t="s">
        <v>39</v>
      </c>
      <c r="I105" s="10">
        <v>2.0</v>
      </c>
      <c r="J105" s="10">
        <v>14999.0</v>
      </c>
      <c r="K105" s="10">
        <v>0.0</v>
      </c>
      <c r="L105" s="10" t="s">
        <v>28</v>
      </c>
      <c r="M105" s="10" t="s">
        <v>29</v>
      </c>
      <c r="N105" s="10" t="s">
        <v>40</v>
      </c>
      <c r="O105" s="10" t="s">
        <v>67</v>
      </c>
      <c r="P105" s="10" t="s">
        <v>32</v>
      </c>
      <c r="Q105" s="10"/>
      <c r="R105" s="7">
        <f t="shared" si="1"/>
        <v>29998</v>
      </c>
      <c r="S105" s="8">
        <f t="shared" si="2"/>
        <v>4575.966102</v>
      </c>
      <c r="T105" s="8">
        <f t="shared" si="3"/>
        <v>29998</v>
      </c>
      <c r="U105" s="8" t="str">
        <f t="shared" si="4"/>
        <v>Q2</v>
      </c>
      <c r="V105" s="9"/>
      <c r="W105" s="9"/>
      <c r="X105" s="9"/>
      <c r="Y105" s="9"/>
    </row>
    <row r="106">
      <c r="A106" s="10" t="s">
        <v>229</v>
      </c>
      <c r="B106" s="11">
        <v>45528.0</v>
      </c>
      <c r="C106" s="10" t="s">
        <v>183</v>
      </c>
      <c r="D106" s="10" t="s">
        <v>35</v>
      </c>
      <c r="E106" s="10" t="s">
        <v>50</v>
      </c>
      <c r="F106" s="10" t="s">
        <v>37</v>
      </c>
      <c r="G106" s="10" t="s">
        <v>55</v>
      </c>
      <c r="H106" s="10" t="s">
        <v>56</v>
      </c>
      <c r="I106" s="10">
        <v>2.0</v>
      </c>
      <c r="J106" s="10">
        <v>1499.0</v>
      </c>
      <c r="K106" s="10">
        <v>20.0</v>
      </c>
      <c r="L106" s="10" t="s">
        <v>45</v>
      </c>
      <c r="M106" s="10" t="s">
        <v>29</v>
      </c>
      <c r="N106" s="10" t="s">
        <v>70</v>
      </c>
      <c r="O106" s="10" t="s">
        <v>31</v>
      </c>
      <c r="P106" s="10" t="s">
        <v>32</v>
      </c>
      <c r="Q106" s="10"/>
      <c r="R106" s="7">
        <f t="shared" si="1"/>
        <v>2398.4</v>
      </c>
      <c r="S106" s="8">
        <f t="shared" si="2"/>
        <v>431.712</v>
      </c>
      <c r="T106" s="8">
        <f t="shared" si="3"/>
        <v>2830.112</v>
      </c>
      <c r="U106" s="8" t="str">
        <f t="shared" si="4"/>
        <v>Q3</v>
      </c>
      <c r="V106" s="9"/>
      <c r="W106" s="9"/>
      <c r="X106" s="9"/>
      <c r="Y106" s="9"/>
    </row>
    <row r="107">
      <c r="A107" s="10" t="s">
        <v>230</v>
      </c>
      <c r="B107" s="11">
        <v>45737.0</v>
      </c>
      <c r="C107" s="10" t="s">
        <v>72</v>
      </c>
      <c r="D107" s="10" t="s">
        <v>80</v>
      </c>
      <c r="E107" s="10" t="s">
        <v>81</v>
      </c>
      <c r="F107" s="10" t="s">
        <v>148</v>
      </c>
      <c r="G107" s="10" t="s">
        <v>75</v>
      </c>
      <c r="H107" s="10" t="s">
        <v>56</v>
      </c>
      <c r="I107" s="10">
        <v>1.0</v>
      </c>
      <c r="J107" s="10">
        <v>799.0</v>
      </c>
      <c r="K107" s="10">
        <v>0.0</v>
      </c>
      <c r="L107" s="10" t="s">
        <v>28</v>
      </c>
      <c r="M107" s="10" t="s">
        <v>29</v>
      </c>
      <c r="N107" s="10" t="s">
        <v>57</v>
      </c>
      <c r="O107" s="10" t="s">
        <v>46</v>
      </c>
      <c r="P107" s="10" t="s">
        <v>47</v>
      </c>
      <c r="Q107" s="10"/>
      <c r="R107" s="7">
        <f t="shared" si="1"/>
        <v>799</v>
      </c>
      <c r="S107" s="8">
        <f t="shared" si="2"/>
        <v>121.8813559</v>
      </c>
      <c r="T107" s="8">
        <f t="shared" si="3"/>
        <v>799</v>
      </c>
      <c r="U107" s="8" t="str">
        <f t="shared" si="4"/>
        <v>Q1</v>
      </c>
      <c r="V107" s="9"/>
      <c r="W107" s="9"/>
      <c r="X107" s="9"/>
      <c r="Y107" s="9"/>
    </row>
    <row r="108">
      <c r="A108" s="10" t="s">
        <v>231</v>
      </c>
      <c r="B108" s="11">
        <v>45714.0</v>
      </c>
      <c r="C108" s="10" t="s">
        <v>91</v>
      </c>
      <c r="D108" s="10" t="s">
        <v>23</v>
      </c>
      <c r="E108" s="10" t="s">
        <v>24</v>
      </c>
      <c r="F108" s="10" t="s">
        <v>44</v>
      </c>
      <c r="G108" s="10" t="s">
        <v>55</v>
      </c>
      <c r="H108" s="10" t="s">
        <v>56</v>
      </c>
      <c r="I108" s="10">
        <v>1.0</v>
      </c>
      <c r="J108" s="10">
        <v>1499.0</v>
      </c>
      <c r="K108" s="10">
        <v>15.0</v>
      </c>
      <c r="L108" s="10" t="s">
        <v>45</v>
      </c>
      <c r="M108" s="10" t="s">
        <v>29</v>
      </c>
      <c r="N108" s="10" t="s">
        <v>40</v>
      </c>
      <c r="O108" s="10" t="s">
        <v>31</v>
      </c>
      <c r="P108" s="10" t="s">
        <v>32</v>
      </c>
      <c r="Q108" s="10"/>
      <c r="R108" s="7">
        <f t="shared" si="1"/>
        <v>1274.15</v>
      </c>
      <c r="S108" s="8">
        <f t="shared" si="2"/>
        <v>229.347</v>
      </c>
      <c r="T108" s="8">
        <f t="shared" si="3"/>
        <v>1503.497</v>
      </c>
      <c r="U108" s="8" t="str">
        <f t="shared" si="4"/>
        <v>Q1</v>
      </c>
      <c r="V108" s="9"/>
      <c r="W108" s="9"/>
      <c r="X108" s="9"/>
      <c r="Y108" s="9"/>
    </row>
    <row r="109">
      <c r="A109" s="10" t="s">
        <v>232</v>
      </c>
      <c r="B109" s="11">
        <v>45755.0</v>
      </c>
      <c r="C109" s="10" t="s">
        <v>91</v>
      </c>
      <c r="D109" s="10" t="s">
        <v>80</v>
      </c>
      <c r="E109" s="10" t="s">
        <v>81</v>
      </c>
      <c r="F109" s="10" t="s">
        <v>54</v>
      </c>
      <c r="G109" s="10" t="s">
        <v>75</v>
      </c>
      <c r="H109" s="10" t="s">
        <v>56</v>
      </c>
      <c r="I109" s="10">
        <v>3.0</v>
      </c>
      <c r="J109" s="10">
        <v>799.0</v>
      </c>
      <c r="K109" s="10">
        <v>0.0</v>
      </c>
      <c r="L109" s="10" t="s">
        <v>28</v>
      </c>
      <c r="M109" s="10" t="s">
        <v>29</v>
      </c>
      <c r="N109" s="10" t="s">
        <v>30</v>
      </c>
      <c r="O109" s="10" t="s">
        <v>46</v>
      </c>
      <c r="P109" s="10" t="s">
        <v>32</v>
      </c>
      <c r="Q109" s="10"/>
      <c r="R109" s="7">
        <f t="shared" si="1"/>
        <v>2397</v>
      </c>
      <c r="S109" s="8">
        <f t="shared" si="2"/>
        <v>365.6440678</v>
      </c>
      <c r="T109" s="8">
        <f t="shared" si="3"/>
        <v>2397</v>
      </c>
      <c r="U109" s="8" t="str">
        <f t="shared" si="4"/>
        <v>Q2</v>
      </c>
      <c r="V109" s="9"/>
      <c r="W109" s="9"/>
      <c r="X109" s="9"/>
      <c r="Y109" s="9"/>
    </row>
    <row r="110">
      <c r="A110" s="10" t="s">
        <v>233</v>
      </c>
      <c r="B110" s="11">
        <v>45644.0</v>
      </c>
      <c r="C110" s="10" t="s">
        <v>109</v>
      </c>
      <c r="D110" s="10" t="s">
        <v>80</v>
      </c>
      <c r="E110" s="10" t="s">
        <v>92</v>
      </c>
      <c r="F110" s="10" t="s">
        <v>74</v>
      </c>
      <c r="G110" s="10" t="s">
        <v>75</v>
      </c>
      <c r="H110" s="10" t="s">
        <v>56</v>
      </c>
      <c r="I110" s="10">
        <v>3.0</v>
      </c>
      <c r="J110" s="10">
        <v>799.0</v>
      </c>
      <c r="K110" s="10">
        <v>0.15</v>
      </c>
      <c r="L110" s="10" t="s">
        <v>45</v>
      </c>
      <c r="M110" s="10" t="s">
        <v>29</v>
      </c>
      <c r="N110" s="10" t="s">
        <v>30</v>
      </c>
      <c r="O110" s="10" t="s">
        <v>31</v>
      </c>
      <c r="P110" s="10" t="s">
        <v>87</v>
      </c>
      <c r="Q110" s="10"/>
      <c r="R110" s="7">
        <f t="shared" si="1"/>
        <v>2393.4045</v>
      </c>
      <c r="S110" s="8">
        <f t="shared" si="2"/>
        <v>430.81281</v>
      </c>
      <c r="T110" s="8">
        <f t="shared" si="3"/>
        <v>2824.21731</v>
      </c>
      <c r="U110" s="8" t="str">
        <f t="shared" si="4"/>
        <v>Q4</v>
      </c>
      <c r="V110" s="9"/>
      <c r="W110" s="9"/>
      <c r="X110" s="9"/>
      <c r="Y110" s="9"/>
    </row>
    <row r="111">
      <c r="A111" s="10" t="s">
        <v>234</v>
      </c>
      <c r="B111" s="11">
        <v>45662.0</v>
      </c>
      <c r="C111" s="10" t="s">
        <v>105</v>
      </c>
      <c r="D111" s="10" t="s">
        <v>35</v>
      </c>
      <c r="E111" s="10" t="s">
        <v>85</v>
      </c>
      <c r="F111" s="10" t="s">
        <v>44</v>
      </c>
      <c r="G111" s="10" t="s">
        <v>66</v>
      </c>
      <c r="H111" s="10" t="s">
        <v>39</v>
      </c>
      <c r="I111" s="10">
        <v>1.0</v>
      </c>
      <c r="J111" s="10">
        <v>14999.0</v>
      </c>
      <c r="K111" s="10">
        <v>0.15</v>
      </c>
      <c r="L111" s="10" t="s">
        <v>28</v>
      </c>
      <c r="M111" s="10" t="s">
        <v>29</v>
      </c>
      <c r="N111" s="10" t="s">
        <v>57</v>
      </c>
      <c r="O111" s="10" t="s">
        <v>46</v>
      </c>
      <c r="P111" s="10" t="s">
        <v>32</v>
      </c>
      <c r="Q111" s="10"/>
      <c r="R111" s="7">
        <f t="shared" si="1"/>
        <v>14976.5015</v>
      </c>
      <c r="S111" s="8">
        <f t="shared" si="2"/>
        <v>2284.551076</v>
      </c>
      <c r="T111" s="8">
        <f t="shared" si="3"/>
        <v>14976.5015</v>
      </c>
      <c r="U111" s="8" t="str">
        <f t="shared" si="4"/>
        <v>Q1</v>
      </c>
      <c r="V111" s="9"/>
      <c r="W111" s="9"/>
      <c r="X111" s="9"/>
      <c r="Y111" s="9"/>
    </row>
    <row r="112">
      <c r="A112" s="10" t="s">
        <v>235</v>
      </c>
      <c r="B112" s="11">
        <v>45668.0</v>
      </c>
      <c r="C112" s="10" t="s">
        <v>53</v>
      </c>
      <c r="D112" s="10" t="s">
        <v>23</v>
      </c>
      <c r="E112" s="10" t="s">
        <v>99</v>
      </c>
      <c r="F112" s="10" t="s">
        <v>44</v>
      </c>
      <c r="G112" s="10" t="s">
        <v>26</v>
      </c>
      <c r="H112" s="10" t="s">
        <v>27</v>
      </c>
      <c r="I112" s="10">
        <v>1.0</v>
      </c>
      <c r="J112" s="10">
        <v>9999.0</v>
      </c>
      <c r="K112" s="10">
        <v>0.0</v>
      </c>
      <c r="L112" s="10" t="s">
        <v>28</v>
      </c>
      <c r="M112" s="10" t="s">
        <v>29</v>
      </c>
      <c r="N112" s="10" t="s">
        <v>114</v>
      </c>
      <c r="O112" s="10" t="s">
        <v>31</v>
      </c>
      <c r="P112" s="10" t="s">
        <v>32</v>
      </c>
      <c r="Q112" s="11">
        <v>45698.0</v>
      </c>
      <c r="R112" s="7">
        <f t="shared" si="1"/>
        <v>9999</v>
      </c>
      <c r="S112" s="8">
        <f t="shared" si="2"/>
        <v>1525.271186</v>
      </c>
      <c r="T112" s="8">
        <f t="shared" si="3"/>
        <v>9999</v>
      </c>
      <c r="U112" s="8" t="str">
        <f t="shared" si="4"/>
        <v>Q1</v>
      </c>
      <c r="V112" s="9"/>
      <c r="W112" s="9"/>
      <c r="X112" s="9"/>
      <c r="Y112" s="9"/>
    </row>
    <row r="113">
      <c r="A113" s="10" t="s">
        <v>236</v>
      </c>
      <c r="B113" s="11">
        <v>45505.0</v>
      </c>
      <c r="C113" s="10" t="s">
        <v>163</v>
      </c>
      <c r="D113" s="10" t="s">
        <v>80</v>
      </c>
      <c r="E113" s="10" t="s">
        <v>92</v>
      </c>
      <c r="F113" s="10" t="s">
        <v>44</v>
      </c>
      <c r="G113" s="10" t="s">
        <v>75</v>
      </c>
      <c r="H113" s="10" t="s">
        <v>56</v>
      </c>
      <c r="I113" s="10">
        <v>3.0</v>
      </c>
      <c r="J113" s="10">
        <v>799.0</v>
      </c>
      <c r="K113" s="10">
        <v>10.0</v>
      </c>
      <c r="L113" s="10" t="s">
        <v>28</v>
      </c>
      <c r="M113" s="10" t="s">
        <v>29</v>
      </c>
      <c r="N113" s="10" t="s">
        <v>40</v>
      </c>
      <c r="O113" s="10" t="s">
        <v>31</v>
      </c>
      <c r="P113" s="10" t="s">
        <v>47</v>
      </c>
      <c r="Q113" s="10"/>
      <c r="R113" s="7">
        <f t="shared" si="1"/>
        <v>2157.3</v>
      </c>
      <c r="S113" s="8">
        <f t="shared" si="2"/>
        <v>329.079661</v>
      </c>
      <c r="T113" s="8">
        <f t="shared" si="3"/>
        <v>2157.3</v>
      </c>
      <c r="U113" s="8" t="str">
        <f t="shared" si="4"/>
        <v>Q3</v>
      </c>
      <c r="V113" s="9"/>
      <c r="W113" s="9"/>
      <c r="X113" s="9"/>
      <c r="Y113" s="9"/>
    </row>
    <row r="114">
      <c r="A114" s="10" t="s">
        <v>237</v>
      </c>
      <c r="B114" s="11">
        <v>45600.0</v>
      </c>
      <c r="C114" s="10" t="s">
        <v>96</v>
      </c>
      <c r="D114" s="10" t="s">
        <v>35</v>
      </c>
      <c r="E114" s="10" t="s">
        <v>50</v>
      </c>
      <c r="F114" s="10" t="s">
        <v>51</v>
      </c>
      <c r="G114" s="10" t="s">
        <v>66</v>
      </c>
      <c r="H114" s="10" t="s">
        <v>39</v>
      </c>
      <c r="I114" s="10">
        <v>1.0</v>
      </c>
      <c r="J114" s="10">
        <v>14999.0</v>
      </c>
      <c r="K114" s="10">
        <v>10.0</v>
      </c>
      <c r="L114" s="10" t="s">
        <v>45</v>
      </c>
      <c r="M114" s="10" t="s">
        <v>29</v>
      </c>
      <c r="N114" s="10" t="s">
        <v>57</v>
      </c>
      <c r="O114" s="10" t="s">
        <v>46</v>
      </c>
      <c r="P114" s="10" t="s">
        <v>62</v>
      </c>
      <c r="Q114" s="10"/>
      <c r="R114" s="7">
        <f t="shared" si="1"/>
        <v>13499.1</v>
      </c>
      <c r="S114" s="8">
        <f t="shared" si="2"/>
        <v>2429.838</v>
      </c>
      <c r="T114" s="8">
        <f t="shared" si="3"/>
        <v>15928.938</v>
      </c>
      <c r="U114" s="8" t="str">
        <f t="shared" si="4"/>
        <v>Q4</v>
      </c>
      <c r="V114" s="9"/>
      <c r="W114" s="9"/>
      <c r="X114" s="9"/>
      <c r="Y114" s="9"/>
    </row>
    <row r="115">
      <c r="A115" s="10" t="s">
        <v>238</v>
      </c>
      <c r="B115" s="11">
        <v>45650.0</v>
      </c>
      <c r="C115" s="10" t="s">
        <v>144</v>
      </c>
      <c r="D115" s="10" t="s">
        <v>35</v>
      </c>
      <c r="E115" s="10" t="s">
        <v>36</v>
      </c>
      <c r="F115" s="10" t="s">
        <v>44</v>
      </c>
      <c r="G115" s="10" t="s">
        <v>75</v>
      </c>
      <c r="H115" s="10" t="s">
        <v>56</v>
      </c>
      <c r="I115" s="10">
        <v>1.0</v>
      </c>
      <c r="J115" s="10">
        <v>799.0</v>
      </c>
      <c r="K115" s="10">
        <v>10.0</v>
      </c>
      <c r="L115" s="10" t="s">
        <v>45</v>
      </c>
      <c r="M115" s="10" t="s">
        <v>29</v>
      </c>
      <c r="N115" s="10" t="s">
        <v>30</v>
      </c>
      <c r="O115" s="10" t="s">
        <v>31</v>
      </c>
      <c r="P115" s="10" t="s">
        <v>47</v>
      </c>
      <c r="Q115" s="10"/>
      <c r="R115" s="7">
        <f t="shared" si="1"/>
        <v>719.1</v>
      </c>
      <c r="S115" s="8">
        <f t="shared" si="2"/>
        <v>129.438</v>
      </c>
      <c r="T115" s="8">
        <f t="shared" si="3"/>
        <v>848.538</v>
      </c>
      <c r="U115" s="8" t="str">
        <f t="shared" si="4"/>
        <v>Q4</v>
      </c>
      <c r="V115" s="9"/>
      <c r="W115" s="9"/>
      <c r="X115" s="9"/>
      <c r="Y115" s="9"/>
    </row>
    <row r="116">
      <c r="A116" s="10" t="s">
        <v>239</v>
      </c>
      <c r="B116" s="11">
        <v>45774.0</v>
      </c>
      <c r="C116" s="10" t="s">
        <v>79</v>
      </c>
      <c r="D116" s="10" t="s">
        <v>80</v>
      </c>
      <c r="E116" s="10" t="s">
        <v>81</v>
      </c>
      <c r="F116" s="10" t="s">
        <v>54</v>
      </c>
      <c r="G116" s="10" t="s">
        <v>75</v>
      </c>
      <c r="H116" s="10" t="s">
        <v>56</v>
      </c>
      <c r="I116" s="10">
        <v>1.0</v>
      </c>
      <c r="J116" s="10">
        <v>799.0</v>
      </c>
      <c r="K116" s="10">
        <v>0.1</v>
      </c>
      <c r="L116" s="10" t="s">
        <v>45</v>
      </c>
      <c r="M116" s="10" t="s">
        <v>29</v>
      </c>
      <c r="N116" s="10" t="s">
        <v>70</v>
      </c>
      <c r="O116" s="10" t="s">
        <v>31</v>
      </c>
      <c r="P116" s="10" t="s">
        <v>32</v>
      </c>
      <c r="Q116" s="10"/>
      <c r="R116" s="7">
        <f t="shared" si="1"/>
        <v>798.201</v>
      </c>
      <c r="S116" s="8">
        <f t="shared" si="2"/>
        <v>143.67618</v>
      </c>
      <c r="T116" s="8">
        <f t="shared" si="3"/>
        <v>941.87718</v>
      </c>
      <c r="U116" s="8" t="str">
        <f t="shared" si="4"/>
        <v>Q2</v>
      </c>
      <c r="V116" s="9"/>
      <c r="W116" s="9"/>
      <c r="X116" s="9"/>
      <c r="Y116" s="9"/>
    </row>
    <row r="117">
      <c r="A117" s="10" t="s">
        <v>240</v>
      </c>
      <c r="B117" s="11">
        <v>45717.0</v>
      </c>
      <c r="C117" s="10" t="s">
        <v>153</v>
      </c>
      <c r="D117" s="10" t="s">
        <v>80</v>
      </c>
      <c r="E117" s="10" t="s">
        <v>151</v>
      </c>
      <c r="F117" s="10" t="s">
        <v>37</v>
      </c>
      <c r="G117" s="10" t="s">
        <v>75</v>
      </c>
      <c r="H117" s="10" t="s">
        <v>56</v>
      </c>
      <c r="I117" s="10">
        <v>1.0</v>
      </c>
      <c r="J117" s="10">
        <v>799.0</v>
      </c>
      <c r="K117" s="10">
        <v>10.0</v>
      </c>
      <c r="L117" s="10" t="s">
        <v>28</v>
      </c>
      <c r="M117" s="10" t="s">
        <v>29</v>
      </c>
      <c r="N117" s="10" t="s">
        <v>114</v>
      </c>
      <c r="O117" s="10" t="s">
        <v>67</v>
      </c>
      <c r="P117" s="10" t="s">
        <v>32</v>
      </c>
      <c r="Q117" s="10"/>
      <c r="R117" s="7">
        <f t="shared" si="1"/>
        <v>719.1</v>
      </c>
      <c r="S117" s="8">
        <f t="shared" si="2"/>
        <v>109.6932203</v>
      </c>
      <c r="T117" s="8">
        <f t="shared" si="3"/>
        <v>719.1</v>
      </c>
      <c r="U117" s="8" t="str">
        <f t="shared" si="4"/>
        <v>Q1</v>
      </c>
      <c r="V117" s="9"/>
      <c r="W117" s="9"/>
      <c r="X117" s="9"/>
      <c r="Y117" s="9"/>
    </row>
    <row r="118">
      <c r="A118" s="10" t="s">
        <v>241</v>
      </c>
      <c r="B118" s="11">
        <v>45677.0</v>
      </c>
      <c r="C118" s="10" t="s">
        <v>96</v>
      </c>
      <c r="D118" s="10" t="s">
        <v>23</v>
      </c>
      <c r="E118" s="10" t="s">
        <v>73</v>
      </c>
      <c r="F118" s="10" t="s">
        <v>37</v>
      </c>
      <c r="G118" s="10" t="s">
        <v>55</v>
      </c>
      <c r="H118" s="10" t="s">
        <v>56</v>
      </c>
      <c r="I118" s="10">
        <v>1.0</v>
      </c>
      <c r="J118" s="10">
        <v>1499.0</v>
      </c>
      <c r="K118" s="10">
        <v>10.0</v>
      </c>
      <c r="L118" s="10" t="s">
        <v>45</v>
      </c>
      <c r="M118" s="10" t="s">
        <v>29</v>
      </c>
      <c r="N118" s="10" t="s">
        <v>30</v>
      </c>
      <c r="O118" s="10" t="s">
        <v>46</v>
      </c>
      <c r="P118" s="10" t="s">
        <v>87</v>
      </c>
      <c r="Q118" s="10"/>
      <c r="R118" s="7">
        <f t="shared" si="1"/>
        <v>1349.1</v>
      </c>
      <c r="S118" s="8">
        <f t="shared" si="2"/>
        <v>242.838</v>
      </c>
      <c r="T118" s="8">
        <f t="shared" si="3"/>
        <v>1591.938</v>
      </c>
      <c r="U118" s="8" t="str">
        <f t="shared" si="4"/>
        <v>Q1</v>
      </c>
      <c r="V118" s="9"/>
      <c r="W118" s="9"/>
      <c r="X118" s="9"/>
      <c r="Y118" s="9"/>
    </row>
    <row r="119">
      <c r="A119" s="10" t="s">
        <v>242</v>
      </c>
      <c r="B119" s="11">
        <v>45531.0</v>
      </c>
      <c r="C119" s="10" t="s">
        <v>147</v>
      </c>
      <c r="D119" s="10" t="s">
        <v>60</v>
      </c>
      <c r="E119" s="10" t="s">
        <v>122</v>
      </c>
      <c r="F119" s="10" t="s">
        <v>44</v>
      </c>
      <c r="G119" s="10" t="s">
        <v>26</v>
      </c>
      <c r="H119" s="10" t="s">
        <v>27</v>
      </c>
      <c r="I119" s="10">
        <v>1.0</v>
      </c>
      <c r="J119" s="10">
        <v>9999.0</v>
      </c>
      <c r="K119" s="10">
        <v>10.0</v>
      </c>
      <c r="L119" s="10" t="s">
        <v>28</v>
      </c>
      <c r="M119" s="10" t="s">
        <v>29</v>
      </c>
      <c r="N119" s="10" t="s">
        <v>30</v>
      </c>
      <c r="O119" s="10" t="s">
        <v>67</v>
      </c>
      <c r="P119" s="10" t="s">
        <v>77</v>
      </c>
      <c r="Q119" s="10"/>
      <c r="R119" s="7">
        <f t="shared" si="1"/>
        <v>8999.1</v>
      </c>
      <c r="S119" s="8">
        <f t="shared" si="2"/>
        <v>1372.744068</v>
      </c>
      <c r="T119" s="8">
        <f t="shared" si="3"/>
        <v>8999.1</v>
      </c>
      <c r="U119" s="8" t="str">
        <f t="shared" si="4"/>
        <v>Q3</v>
      </c>
      <c r="V119" s="9"/>
      <c r="W119" s="9"/>
      <c r="X119" s="9"/>
      <c r="Y119" s="9"/>
    </row>
    <row r="120">
      <c r="A120" s="10" t="s">
        <v>243</v>
      </c>
      <c r="B120" s="11">
        <v>45568.0</v>
      </c>
      <c r="C120" s="10" t="s">
        <v>141</v>
      </c>
      <c r="D120" s="10" t="s">
        <v>60</v>
      </c>
      <c r="E120" s="10" t="s">
        <v>122</v>
      </c>
      <c r="F120" s="10" t="s">
        <v>54</v>
      </c>
      <c r="G120" s="10" t="s">
        <v>75</v>
      </c>
      <c r="H120" s="10" t="s">
        <v>56</v>
      </c>
      <c r="I120" s="10">
        <v>2.0</v>
      </c>
      <c r="J120" s="10">
        <v>799.0</v>
      </c>
      <c r="K120" s="10">
        <v>5.0</v>
      </c>
      <c r="L120" s="10" t="s">
        <v>28</v>
      </c>
      <c r="M120" s="10" t="s">
        <v>29</v>
      </c>
      <c r="N120" s="10" t="s">
        <v>40</v>
      </c>
      <c r="O120" s="10" t="s">
        <v>46</v>
      </c>
      <c r="P120" s="10" t="s">
        <v>32</v>
      </c>
      <c r="Q120" s="10"/>
      <c r="R120" s="7">
        <f t="shared" si="1"/>
        <v>1518.1</v>
      </c>
      <c r="S120" s="8">
        <f t="shared" si="2"/>
        <v>231.5745763</v>
      </c>
      <c r="T120" s="8">
        <f t="shared" si="3"/>
        <v>1518.1</v>
      </c>
      <c r="U120" s="8" t="str">
        <f t="shared" si="4"/>
        <v>Q4</v>
      </c>
      <c r="V120" s="9"/>
      <c r="W120" s="9"/>
      <c r="X120" s="9"/>
      <c r="Y120" s="9"/>
    </row>
    <row r="121">
      <c r="A121" s="10" t="s">
        <v>244</v>
      </c>
      <c r="B121" s="11">
        <v>45631.0</v>
      </c>
      <c r="C121" s="10" t="s">
        <v>101</v>
      </c>
      <c r="D121" s="10" t="s">
        <v>35</v>
      </c>
      <c r="E121" s="10" t="s">
        <v>50</v>
      </c>
      <c r="F121" s="10" t="s">
        <v>25</v>
      </c>
      <c r="G121" s="10" t="s">
        <v>66</v>
      </c>
      <c r="H121" s="10" t="s">
        <v>39</v>
      </c>
      <c r="I121" s="10">
        <v>5.0</v>
      </c>
      <c r="J121" s="10">
        <v>14999.0</v>
      </c>
      <c r="K121" s="10">
        <v>10.0</v>
      </c>
      <c r="L121" s="10" t="s">
        <v>28</v>
      </c>
      <c r="M121" s="10" t="s">
        <v>29</v>
      </c>
      <c r="N121" s="10" t="s">
        <v>57</v>
      </c>
      <c r="O121" s="10" t="s">
        <v>67</v>
      </c>
      <c r="P121" s="10" t="s">
        <v>77</v>
      </c>
      <c r="Q121" s="10"/>
      <c r="R121" s="7">
        <f t="shared" si="1"/>
        <v>67495.5</v>
      </c>
      <c r="S121" s="8">
        <f t="shared" si="2"/>
        <v>10295.92373</v>
      </c>
      <c r="T121" s="8">
        <f t="shared" si="3"/>
        <v>67495.5</v>
      </c>
      <c r="U121" s="8" t="str">
        <f t="shared" si="4"/>
        <v>Q4</v>
      </c>
      <c r="V121" s="9"/>
      <c r="W121" s="9"/>
      <c r="X121" s="9"/>
      <c r="Y121" s="9"/>
    </row>
    <row r="122">
      <c r="A122" s="10" t="s">
        <v>245</v>
      </c>
      <c r="B122" s="11">
        <v>45686.0</v>
      </c>
      <c r="C122" s="10" t="s">
        <v>53</v>
      </c>
      <c r="D122" s="10" t="s">
        <v>80</v>
      </c>
      <c r="E122" s="10" t="s">
        <v>92</v>
      </c>
      <c r="F122" s="10" t="s">
        <v>86</v>
      </c>
      <c r="G122" s="10" t="s">
        <v>26</v>
      </c>
      <c r="H122" s="10" t="s">
        <v>27</v>
      </c>
      <c r="I122" s="10">
        <v>1.0</v>
      </c>
      <c r="J122" s="10">
        <v>9999.0</v>
      </c>
      <c r="K122" s="10">
        <v>0.1</v>
      </c>
      <c r="L122" s="10" t="s">
        <v>45</v>
      </c>
      <c r="M122" s="10" t="s">
        <v>29</v>
      </c>
      <c r="N122" s="10" t="s">
        <v>30</v>
      </c>
      <c r="O122" s="10" t="s">
        <v>41</v>
      </c>
      <c r="P122" s="10" t="s">
        <v>87</v>
      </c>
      <c r="Q122" s="10"/>
      <c r="R122" s="7">
        <f t="shared" si="1"/>
        <v>9989.001</v>
      </c>
      <c r="S122" s="8">
        <f t="shared" si="2"/>
        <v>1798.02018</v>
      </c>
      <c r="T122" s="8">
        <f t="shared" si="3"/>
        <v>11787.02118</v>
      </c>
      <c r="U122" s="8" t="str">
        <f t="shared" si="4"/>
        <v>Q1</v>
      </c>
      <c r="V122" s="9"/>
      <c r="W122" s="9"/>
      <c r="X122" s="9"/>
      <c r="Y122" s="9"/>
    </row>
    <row r="123">
      <c r="A123" s="10" t="s">
        <v>246</v>
      </c>
      <c r="B123" s="11">
        <v>45732.0</v>
      </c>
      <c r="C123" s="10" t="s">
        <v>64</v>
      </c>
      <c r="D123" s="10" t="s">
        <v>60</v>
      </c>
      <c r="E123" s="10" t="s">
        <v>61</v>
      </c>
      <c r="F123" s="10" t="s">
        <v>181</v>
      </c>
      <c r="G123" s="10" t="s">
        <v>93</v>
      </c>
      <c r="H123" s="10" t="s">
        <v>27</v>
      </c>
      <c r="I123" s="10">
        <v>1.0</v>
      </c>
      <c r="J123" s="10">
        <v>2999.0</v>
      </c>
      <c r="K123" s="10">
        <v>0.0</v>
      </c>
      <c r="L123" s="10" t="s">
        <v>28</v>
      </c>
      <c r="M123" s="10" t="s">
        <v>29</v>
      </c>
      <c r="N123" s="10" t="s">
        <v>57</v>
      </c>
      <c r="O123" s="10" t="s">
        <v>31</v>
      </c>
      <c r="P123" s="10" t="s">
        <v>32</v>
      </c>
      <c r="Q123" s="11">
        <v>45762.0</v>
      </c>
      <c r="R123" s="7">
        <f t="shared" si="1"/>
        <v>2999</v>
      </c>
      <c r="S123" s="8">
        <f t="shared" si="2"/>
        <v>457.4745763</v>
      </c>
      <c r="T123" s="8">
        <f t="shared" si="3"/>
        <v>2999</v>
      </c>
      <c r="U123" s="8" t="str">
        <f t="shared" si="4"/>
        <v>Q1</v>
      </c>
      <c r="V123" s="9"/>
      <c r="W123" s="9"/>
      <c r="X123" s="9"/>
      <c r="Y123" s="9"/>
    </row>
    <row r="124">
      <c r="A124" s="10" t="s">
        <v>247</v>
      </c>
      <c r="B124" s="11">
        <v>45503.0</v>
      </c>
      <c r="C124" s="10" t="s">
        <v>69</v>
      </c>
      <c r="D124" s="10" t="s">
        <v>60</v>
      </c>
      <c r="E124" s="10" t="s">
        <v>102</v>
      </c>
      <c r="F124" s="10" t="s">
        <v>37</v>
      </c>
      <c r="G124" s="10" t="s">
        <v>55</v>
      </c>
      <c r="H124" s="10" t="s">
        <v>56</v>
      </c>
      <c r="I124" s="10">
        <v>5.0</v>
      </c>
      <c r="J124" s="10">
        <v>1499.0</v>
      </c>
      <c r="K124" s="10">
        <v>0.0</v>
      </c>
      <c r="L124" s="10" t="s">
        <v>45</v>
      </c>
      <c r="M124" s="10" t="s">
        <v>29</v>
      </c>
      <c r="N124" s="10" t="s">
        <v>30</v>
      </c>
      <c r="O124" s="10" t="s">
        <v>31</v>
      </c>
      <c r="P124" s="10" t="s">
        <v>32</v>
      </c>
      <c r="Q124" s="10"/>
      <c r="R124" s="7">
        <f t="shared" si="1"/>
        <v>7495</v>
      </c>
      <c r="S124" s="8">
        <f t="shared" si="2"/>
        <v>1349.1</v>
      </c>
      <c r="T124" s="8">
        <f t="shared" si="3"/>
        <v>8844.1</v>
      </c>
      <c r="U124" s="8" t="str">
        <f t="shared" si="4"/>
        <v>Q3</v>
      </c>
      <c r="V124" s="9"/>
      <c r="W124" s="9"/>
      <c r="X124" s="9"/>
      <c r="Y124" s="9"/>
    </row>
    <row r="125">
      <c r="A125" s="10" t="s">
        <v>248</v>
      </c>
      <c r="B125" s="11">
        <v>45543.0</v>
      </c>
      <c r="C125" s="10" t="s">
        <v>172</v>
      </c>
      <c r="D125" s="10" t="s">
        <v>23</v>
      </c>
      <c r="E125" s="10" t="s">
        <v>83</v>
      </c>
      <c r="F125" s="10" t="s">
        <v>201</v>
      </c>
      <c r="G125" s="10" t="s">
        <v>93</v>
      </c>
      <c r="H125" s="10" t="s">
        <v>27</v>
      </c>
      <c r="I125" s="10">
        <v>1.0</v>
      </c>
      <c r="J125" s="10">
        <v>2999.0</v>
      </c>
      <c r="K125" s="10">
        <v>15.0</v>
      </c>
      <c r="L125" s="10" t="s">
        <v>45</v>
      </c>
      <c r="M125" s="10" t="s">
        <v>29</v>
      </c>
      <c r="N125" s="10" t="s">
        <v>40</v>
      </c>
      <c r="O125" s="10" t="s">
        <v>67</v>
      </c>
      <c r="P125" s="10" t="s">
        <v>32</v>
      </c>
      <c r="Q125" s="11">
        <v>45908.0</v>
      </c>
      <c r="R125" s="7">
        <f t="shared" si="1"/>
        <v>2549.15</v>
      </c>
      <c r="S125" s="8">
        <f t="shared" si="2"/>
        <v>458.847</v>
      </c>
      <c r="T125" s="8">
        <f t="shared" si="3"/>
        <v>3007.997</v>
      </c>
      <c r="U125" s="8" t="str">
        <f t="shared" si="4"/>
        <v>Q3</v>
      </c>
      <c r="V125" s="9"/>
      <c r="W125" s="9"/>
      <c r="X125" s="9"/>
      <c r="Y125" s="9"/>
    </row>
    <row r="126">
      <c r="A126" s="10" t="s">
        <v>249</v>
      </c>
      <c r="B126" s="11">
        <v>45588.0</v>
      </c>
      <c r="C126" s="10" t="s">
        <v>172</v>
      </c>
      <c r="D126" s="10" t="s">
        <v>23</v>
      </c>
      <c r="E126" s="10" t="s">
        <v>73</v>
      </c>
      <c r="F126" s="10" t="s">
        <v>86</v>
      </c>
      <c r="G126" s="10" t="s">
        <v>75</v>
      </c>
      <c r="H126" s="10" t="s">
        <v>56</v>
      </c>
      <c r="I126" s="10">
        <v>1.0</v>
      </c>
      <c r="J126" s="10">
        <v>799.0</v>
      </c>
      <c r="K126" s="10">
        <v>20.0</v>
      </c>
      <c r="L126" s="10" t="s">
        <v>45</v>
      </c>
      <c r="M126" s="10" t="s">
        <v>29</v>
      </c>
      <c r="N126" s="10" t="s">
        <v>57</v>
      </c>
      <c r="O126" s="10" t="s">
        <v>67</v>
      </c>
      <c r="P126" s="10" t="s">
        <v>77</v>
      </c>
      <c r="Q126" s="10"/>
      <c r="R126" s="7">
        <f t="shared" si="1"/>
        <v>639.2</v>
      </c>
      <c r="S126" s="8">
        <f t="shared" si="2"/>
        <v>115.056</v>
      </c>
      <c r="T126" s="8">
        <f t="shared" si="3"/>
        <v>754.256</v>
      </c>
      <c r="U126" s="8" t="str">
        <f t="shared" si="4"/>
        <v>Q4</v>
      </c>
      <c r="V126" s="9"/>
      <c r="W126" s="9"/>
      <c r="X126" s="9"/>
      <c r="Y126" s="9"/>
    </row>
    <row r="127">
      <c r="A127" s="10" t="s">
        <v>250</v>
      </c>
      <c r="B127" s="10" t="s">
        <v>251</v>
      </c>
      <c r="C127" s="10" t="s">
        <v>125</v>
      </c>
      <c r="D127" s="10" t="s">
        <v>35</v>
      </c>
      <c r="E127" s="10" t="s">
        <v>128</v>
      </c>
      <c r="F127" s="10" t="s">
        <v>37</v>
      </c>
      <c r="G127" s="10" t="s">
        <v>106</v>
      </c>
      <c r="H127" s="10" t="s">
        <v>27</v>
      </c>
      <c r="I127" s="10">
        <v>1.0</v>
      </c>
      <c r="J127" s="10">
        <v>999.0</v>
      </c>
      <c r="K127" s="10">
        <v>0.15</v>
      </c>
      <c r="L127" s="10" t="s">
        <v>28</v>
      </c>
      <c r="M127" s="10" t="s">
        <v>29</v>
      </c>
      <c r="N127" s="10" t="s">
        <v>30</v>
      </c>
      <c r="O127" s="10" t="s">
        <v>41</v>
      </c>
      <c r="P127" s="10" t="s">
        <v>62</v>
      </c>
      <c r="Q127" s="10"/>
      <c r="R127" s="7">
        <f t="shared" si="1"/>
        <v>997.5015</v>
      </c>
      <c r="S127" s="8">
        <f t="shared" si="2"/>
        <v>152.1612458</v>
      </c>
      <c r="T127" s="8">
        <f t="shared" si="3"/>
        <v>997.5015</v>
      </c>
      <c r="U127" s="8" t="str">
        <f t="shared" si="4"/>
        <v>Q3</v>
      </c>
      <c r="V127" s="9"/>
      <c r="W127" s="9"/>
      <c r="X127" s="9"/>
      <c r="Y127" s="9"/>
    </row>
    <row r="128">
      <c r="A128" s="10" t="s">
        <v>252</v>
      </c>
      <c r="B128" s="11">
        <v>45585.0</v>
      </c>
      <c r="C128" s="10" t="s">
        <v>34</v>
      </c>
      <c r="D128" s="10" t="s">
        <v>23</v>
      </c>
      <c r="E128" s="10" t="s">
        <v>73</v>
      </c>
      <c r="F128" s="10" t="s">
        <v>65</v>
      </c>
      <c r="G128" s="10" t="s">
        <v>66</v>
      </c>
      <c r="H128" s="10" t="s">
        <v>39</v>
      </c>
      <c r="I128" s="10">
        <v>1.0</v>
      </c>
      <c r="J128" s="10">
        <v>14999.0</v>
      </c>
      <c r="K128" s="10">
        <v>10.0</v>
      </c>
      <c r="L128" s="10" t="s">
        <v>45</v>
      </c>
      <c r="M128" s="10" t="s">
        <v>29</v>
      </c>
      <c r="N128" s="10" t="s">
        <v>57</v>
      </c>
      <c r="O128" s="10" t="s">
        <v>46</v>
      </c>
      <c r="P128" s="10" t="s">
        <v>32</v>
      </c>
      <c r="Q128" s="10"/>
      <c r="R128" s="7">
        <f t="shared" si="1"/>
        <v>13499.1</v>
      </c>
      <c r="S128" s="8">
        <f t="shared" si="2"/>
        <v>2429.838</v>
      </c>
      <c r="T128" s="8">
        <f t="shared" si="3"/>
        <v>15928.938</v>
      </c>
      <c r="U128" s="8" t="str">
        <f t="shared" si="4"/>
        <v>Q4</v>
      </c>
      <c r="V128" s="9"/>
      <c r="W128" s="9"/>
      <c r="X128" s="9"/>
      <c r="Y128" s="9"/>
    </row>
    <row r="129">
      <c r="A129" s="10" t="s">
        <v>253</v>
      </c>
      <c r="B129" s="11">
        <v>45505.0</v>
      </c>
      <c r="C129" s="10" t="s">
        <v>72</v>
      </c>
      <c r="D129" s="10" t="s">
        <v>35</v>
      </c>
      <c r="E129" s="10" t="s">
        <v>128</v>
      </c>
      <c r="F129" s="10" t="s">
        <v>103</v>
      </c>
      <c r="G129" s="10" t="s">
        <v>66</v>
      </c>
      <c r="H129" s="10" t="s">
        <v>39</v>
      </c>
      <c r="I129" s="10">
        <v>3.0</v>
      </c>
      <c r="J129" s="10">
        <v>14999.0</v>
      </c>
      <c r="K129" s="10">
        <v>0.0</v>
      </c>
      <c r="L129" s="10" t="s">
        <v>28</v>
      </c>
      <c r="M129" s="10" t="s">
        <v>29</v>
      </c>
      <c r="N129" s="10" t="s">
        <v>40</v>
      </c>
      <c r="O129" s="10" t="s">
        <v>31</v>
      </c>
      <c r="P129" s="10" t="s">
        <v>77</v>
      </c>
      <c r="Q129" s="10"/>
      <c r="R129" s="7">
        <f t="shared" si="1"/>
        <v>44997</v>
      </c>
      <c r="S129" s="8">
        <f t="shared" si="2"/>
        <v>6863.949153</v>
      </c>
      <c r="T129" s="8">
        <f t="shared" si="3"/>
        <v>44997</v>
      </c>
      <c r="U129" s="8" t="str">
        <f t="shared" si="4"/>
        <v>Q3</v>
      </c>
      <c r="V129" s="9"/>
      <c r="W129" s="9"/>
      <c r="X129" s="9"/>
      <c r="Y129" s="9"/>
    </row>
    <row r="130">
      <c r="A130" s="10" t="s">
        <v>254</v>
      </c>
      <c r="B130" s="11">
        <v>45749.0</v>
      </c>
      <c r="C130" s="10" t="s">
        <v>64</v>
      </c>
      <c r="D130" s="10" t="s">
        <v>35</v>
      </c>
      <c r="E130" s="10" t="s">
        <v>85</v>
      </c>
      <c r="F130" s="10" t="s">
        <v>37</v>
      </c>
      <c r="G130" s="10" t="s">
        <v>55</v>
      </c>
      <c r="H130" s="10" t="s">
        <v>56</v>
      </c>
      <c r="I130" s="10">
        <v>1.0</v>
      </c>
      <c r="J130" s="10">
        <v>1499.0</v>
      </c>
      <c r="K130" s="10">
        <v>0.0</v>
      </c>
      <c r="L130" s="10" t="s">
        <v>45</v>
      </c>
      <c r="M130" s="10" t="s">
        <v>29</v>
      </c>
      <c r="N130" s="10" t="s">
        <v>30</v>
      </c>
      <c r="O130" s="10" t="s">
        <v>67</v>
      </c>
      <c r="P130" s="10" t="s">
        <v>87</v>
      </c>
      <c r="Q130" s="10"/>
      <c r="R130" s="7">
        <f t="shared" si="1"/>
        <v>1499</v>
      </c>
      <c r="S130" s="8">
        <f t="shared" si="2"/>
        <v>269.82</v>
      </c>
      <c r="T130" s="8">
        <f t="shared" si="3"/>
        <v>1768.82</v>
      </c>
      <c r="U130" s="8" t="str">
        <f t="shared" si="4"/>
        <v>Q2</v>
      </c>
      <c r="V130" s="9"/>
      <c r="W130" s="9"/>
      <c r="X130" s="9"/>
      <c r="Y130" s="9"/>
    </row>
    <row r="131">
      <c r="A131" s="10" t="s">
        <v>255</v>
      </c>
      <c r="B131" s="11">
        <v>45663.0</v>
      </c>
      <c r="C131" s="10" t="s">
        <v>43</v>
      </c>
      <c r="D131" s="10" t="s">
        <v>80</v>
      </c>
      <c r="E131" s="10" t="s">
        <v>81</v>
      </c>
      <c r="F131" s="10" t="s">
        <v>51</v>
      </c>
      <c r="G131" s="10" t="s">
        <v>26</v>
      </c>
      <c r="H131" s="10" t="s">
        <v>27</v>
      </c>
      <c r="I131" s="10">
        <v>1.0</v>
      </c>
      <c r="J131" s="10">
        <v>9999.0</v>
      </c>
      <c r="K131" s="10">
        <v>5.0</v>
      </c>
      <c r="L131" s="10" t="s">
        <v>45</v>
      </c>
      <c r="M131" s="10" t="s">
        <v>166</v>
      </c>
      <c r="N131" s="10" t="s">
        <v>40</v>
      </c>
      <c r="O131" s="10" t="s">
        <v>41</v>
      </c>
      <c r="P131" s="10" t="s">
        <v>32</v>
      </c>
      <c r="Q131" s="11">
        <v>45693.0</v>
      </c>
      <c r="R131" s="7">
        <f t="shared" si="1"/>
        <v>9499.05</v>
      </c>
      <c r="S131" s="8">
        <f t="shared" si="2"/>
        <v>1709.829</v>
      </c>
      <c r="T131" s="8">
        <f t="shared" si="3"/>
        <v>11208.879</v>
      </c>
      <c r="U131" s="8" t="str">
        <f t="shared" si="4"/>
        <v>Q1</v>
      </c>
      <c r="V131" s="9"/>
      <c r="W131" s="9"/>
      <c r="X131" s="9"/>
      <c r="Y131" s="9"/>
    </row>
    <row r="132">
      <c r="A132" s="10" t="s">
        <v>256</v>
      </c>
      <c r="B132" s="11">
        <v>45582.0</v>
      </c>
      <c r="C132" s="10" t="s">
        <v>79</v>
      </c>
      <c r="D132" s="10" t="s">
        <v>60</v>
      </c>
      <c r="E132" s="10" t="s">
        <v>110</v>
      </c>
      <c r="F132" s="10" t="s">
        <v>51</v>
      </c>
      <c r="G132" s="10" t="s">
        <v>38</v>
      </c>
      <c r="H132" s="10" t="s">
        <v>39</v>
      </c>
      <c r="I132" s="10">
        <v>5.0</v>
      </c>
      <c r="J132" s="10">
        <v>4999.0</v>
      </c>
      <c r="K132" s="10">
        <v>20.0</v>
      </c>
      <c r="L132" s="10" t="s">
        <v>28</v>
      </c>
      <c r="M132" s="10" t="s">
        <v>29</v>
      </c>
      <c r="N132" s="10" t="s">
        <v>57</v>
      </c>
      <c r="O132" s="10" t="s">
        <v>67</v>
      </c>
      <c r="P132" s="10" t="s">
        <v>47</v>
      </c>
      <c r="Q132" s="10"/>
      <c r="R132" s="7">
        <f t="shared" si="1"/>
        <v>19996</v>
      </c>
      <c r="S132" s="8">
        <f t="shared" si="2"/>
        <v>3050.237288</v>
      </c>
      <c r="T132" s="8">
        <f t="shared" si="3"/>
        <v>19996</v>
      </c>
      <c r="U132" s="8" t="str">
        <f t="shared" si="4"/>
        <v>Q4</v>
      </c>
      <c r="V132" s="9"/>
      <c r="W132" s="9"/>
      <c r="X132" s="9"/>
      <c r="Y132" s="9"/>
    </row>
    <row r="133">
      <c r="A133" s="10" t="s">
        <v>257</v>
      </c>
      <c r="B133" s="11">
        <v>45658.0</v>
      </c>
      <c r="C133" s="10" t="s">
        <v>183</v>
      </c>
      <c r="D133" s="10" t="s">
        <v>35</v>
      </c>
      <c r="E133" s="10" t="s">
        <v>85</v>
      </c>
      <c r="F133" s="10" t="s">
        <v>44</v>
      </c>
      <c r="G133" s="10" t="s">
        <v>55</v>
      </c>
      <c r="H133" s="10" t="s">
        <v>56</v>
      </c>
      <c r="I133" s="10">
        <v>2.0</v>
      </c>
      <c r="J133" s="10">
        <v>1499.0</v>
      </c>
      <c r="K133" s="10">
        <v>20.0</v>
      </c>
      <c r="L133" s="10" t="s">
        <v>28</v>
      </c>
      <c r="M133" s="10" t="s">
        <v>29</v>
      </c>
      <c r="N133" s="10" t="s">
        <v>40</v>
      </c>
      <c r="O133" s="10" t="s">
        <v>41</v>
      </c>
      <c r="P133" s="10" t="s">
        <v>62</v>
      </c>
      <c r="Q133" s="10"/>
      <c r="R133" s="7">
        <f t="shared" si="1"/>
        <v>2398.4</v>
      </c>
      <c r="S133" s="8">
        <f t="shared" si="2"/>
        <v>365.8576271</v>
      </c>
      <c r="T133" s="8">
        <f t="shared" si="3"/>
        <v>2398.4</v>
      </c>
      <c r="U133" s="8" t="str">
        <f t="shared" si="4"/>
        <v>Q1</v>
      </c>
      <c r="V133" s="9"/>
      <c r="W133" s="9"/>
      <c r="X133" s="9"/>
      <c r="Y133" s="9"/>
    </row>
    <row r="134">
      <c r="A134" s="10" t="s">
        <v>258</v>
      </c>
      <c r="B134" s="11">
        <v>45687.0</v>
      </c>
      <c r="C134" s="10" t="s">
        <v>53</v>
      </c>
      <c r="D134" s="10" t="s">
        <v>80</v>
      </c>
      <c r="E134" s="10" t="s">
        <v>151</v>
      </c>
      <c r="F134" s="10" t="s">
        <v>44</v>
      </c>
      <c r="G134" s="10" t="s">
        <v>106</v>
      </c>
      <c r="H134" s="10" t="s">
        <v>27</v>
      </c>
      <c r="I134" s="10">
        <v>1.0</v>
      </c>
      <c r="J134" s="10">
        <v>999.0</v>
      </c>
      <c r="K134" s="10">
        <v>5.0</v>
      </c>
      <c r="L134" s="10" t="s">
        <v>28</v>
      </c>
      <c r="M134" s="10" t="s">
        <v>29</v>
      </c>
      <c r="N134" s="10" t="s">
        <v>30</v>
      </c>
      <c r="O134" s="10" t="s">
        <v>31</v>
      </c>
      <c r="P134" s="10" t="s">
        <v>32</v>
      </c>
      <c r="Q134" s="11">
        <v>46052.0</v>
      </c>
      <c r="R134" s="7">
        <f t="shared" si="1"/>
        <v>949.05</v>
      </c>
      <c r="S134" s="8">
        <f t="shared" si="2"/>
        <v>144.770339</v>
      </c>
      <c r="T134" s="8">
        <f t="shared" si="3"/>
        <v>949.05</v>
      </c>
      <c r="U134" s="8" t="str">
        <f t="shared" si="4"/>
        <v>Q1</v>
      </c>
      <c r="V134" s="9"/>
      <c r="W134" s="9"/>
      <c r="X134" s="9"/>
      <c r="Y134" s="9"/>
    </row>
    <row r="135">
      <c r="A135" s="10" t="s">
        <v>259</v>
      </c>
      <c r="B135" s="11">
        <v>45724.0</v>
      </c>
      <c r="C135" s="10" t="s">
        <v>161</v>
      </c>
      <c r="D135" s="10" t="s">
        <v>60</v>
      </c>
      <c r="E135" s="10" t="s">
        <v>110</v>
      </c>
      <c r="F135" s="10" t="s">
        <v>148</v>
      </c>
      <c r="G135" s="10" t="s">
        <v>66</v>
      </c>
      <c r="H135" s="10" t="s">
        <v>39</v>
      </c>
      <c r="I135" s="10">
        <v>3.0</v>
      </c>
      <c r="J135" s="10">
        <v>14999.0</v>
      </c>
      <c r="K135" s="10">
        <v>0.0</v>
      </c>
      <c r="L135" s="10" t="s">
        <v>28</v>
      </c>
      <c r="M135" s="10" t="s">
        <v>29</v>
      </c>
      <c r="N135" s="10" t="s">
        <v>30</v>
      </c>
      <c r="O135" s="10" t="s">
        <v>31</v>
      </c>
      <c r="P135" s="10" t="s">
        <v>32</v>
      </c>
      <c r="Q135" s="10"/>
      <c r="R135" s="7">
        <f t="shared" si="1"/>
        <v>44997</v>
      </c>
      <c r="S135" s="8">
        <f t="shared" si="2"/>
        <v>6863.949153</v>
      </c>
      <c r="T135" s="8">
        <f t="shared" si="3"/>
        <v>44997</v>
      </c>
      <c r="U135" s="8" t="str">
        <f t="shared" si="4"/>
        <v>Q1</v>
      </c>
      <c r="V135" s="9"/>
      <c r="W135" s="9"/>
      <c r="X135" s="9"/>
      <c r="Y135" s="9"/>
    </row>
    <row r="136">
      <c r="A136" s="10" t="s">
        <v>260</v>
      </c>
      <c r="B136" s="11">
        <v>45665.0</v>
      </c>
      <c r="C136" s="10" t="s">
        <v>206</v>
      </c>
      <c r="D136" s="10" t="s">
        <v>80</v>
      </c>
      <c r="E136" s="10" t="s">
        <v>151</v>
      </c>
      <c r="F136" s="10" t="s">
        <v>25</v>
      </c>
      <c r="G136" s="10" t="s">
        <v>66</v>
      </c>
      <c r="H136" s="10" t="s">
        <v>39</v>
      </c>
      <c r="I136" s="10">
        <v>5.0</v>
      </c>
      <c r="J136" s="10">
        <v>14999.0</v>
      </c>
      <c r="K136" s="10">
        <v>0.15</v>
      </c>
      <c r="L136" s="10" t="s">
        <v>28</v>
      </c>
      <c r="M136" s="10" t="s">
        <v>29</v>
      </c>
      <c r="N136" s="10" t="s">
        <v>57</v>
      </c>
      <c r="O136" s="10" t="s">
        <v>31</v>
      </c>
      <c r="P136" s="10" t="s">
        <v>47</v>
      </c>
      <c r="Q136" s="10"/>
      <c r="R136" s="7">
        <f t="shared" si="1"/>
        <v>74882.5075</v>
      </c>
      <c r="S136" s="8">
        <f t="shared" si="2"/>
        <v>11422.75538</v>
      </c>
      <c r="T136" s="8">
        <f t="shared" si="3"/>
        <v>74882.5075</v>
      </c>
      <c r="U136" s="8" t="str">
        <f t="shared" si="4"/>
        <v>Q1</v>
      </c>
      <c r="V136" s="9"/>
      <c r="W136" s="9"/>
      <c r="X136" s="9"/>
      <c r="Y136" s="9"/>
    </row>
    <row r="137">
      <c r="A137" s="10" t="s">
        <v>261</v>
      </c>
      <c r="B137" s="11">
        <v>45819.0</v>
      </c>
      <c r="C137" s="10" t="s">
        <v>101</v>
      </c>
      <c r="D137" s="10" t="s">
        <v>23</v>
      </c>
      <c r="E137" s="10" t="s">
        <v>24</v>
      </c>
      <c r="F137" s="10" t="s">
        <v>54</v>
      </c>
      <c r="G137" s="10" t="s">
        <v>75</v>
      </c>
      <c r="H137" s="10" t="s">
        <v>56</v>
      </c>
      <c r="I137" s="10">
        <v>1.0</v>
      </c>
      <c r="J137" s="10">
        <v>799.0</v>
      </c>
      <c r="K137" s="10">
        <v>0.0</v>
      </c>
      <c r="L137" s="10" t="s">
        <v>45</v>
      </c>
      <c r="M137" s="10" t="s">
        <v>29</v>
      </c>
      <c r="N137" s="10" t="s">
        <v>89</v>
      </c>
      <c r="O137" s="10" t="s">
        <v>46</v>
      </c>
      <c r="P137" s="10" t="s">
        <v>32</v>
      </c>
      <c r="Q137" s="10"/>
      <c r="R137" s="7">
        <f t="shared" si="1"/>
        <v>799</v>
      </c>
      <c r="S137" s="8">
        <f t="shared" si="2"/>
        <v>143.82</v>
      </c>
      <c r="T137" s="8">
        <f t="shared" si="3"/>
        <v>942.82</v>
      </c>
      <c r="U137" s="8" t="str">
        <f t="shared" si="4"/>
        <v>Q2</v>
      </c>
      <c r="V137" s="9"/>
      <c r="W137" s="9"/>
      <c r="X137" s="9"/>
      <c r="Y137" s="9"/>
    </row>
    <row r="138">
      <c r="A138" s="10" t="s">
        <v>262</v>
      </c>
      <c r="B138" s="11">
        <v>45830.0</v>
      </c>
      <c r="C138" s="10" t="s">
        <v>144</v>
      </c>
      <c r="D138" s="10" t="s">
        <v>60</v>
      </c>
      <c r="E138" s="10" t="s">
        <v>102</v>
      </c>
      <c r="F138" s="10" t="s">
        <v>86</v>
      </c>
      <c r="G138" s="10" t="s">
        <v>106</v>
      </c>
      <c r="H138" s="10" t="s">
        <v>27</v>
      </c>
      <c r="I138" s="10">
        <v>1.0</v>
      </c>
      <c r="J138" s="10">
        <v>999.0</v>
      </c>
      <c r="K138" s="10">
        <v>0.0</v>
      </c>
      <c r="L138" s="10" t="s">
        <v>28</v>
      </c>
      <c r="M138" s="10" t="s">
        <v>29</v>
      </c>
      <c r="N138" s="10" t="s">
        <v>57</v>
      </c>
      <c r="O138" s="10" t="s">
        <v>31</v>
      </c>
      <c r="P138" s="10" t="s">
        <v>77</v>
      </c>
      <c r="Q138" s="10"/>
      <c r="R138" s="7">
        <f t="shared" si="1"/>
        <v>999</v>
      </c>
      <c r="S138" s="8">
        <f t="shared" si="2"/>
        <v>152.3898305</v>
      </c>
      <c r="T138" s="8">
        <f t="shared" si="3"/>
        <v>999</v>
      </c>
      <c r="U138" s="8" t="str">
        <f t="shared" si="4"/>
        <v>Q2</v>
      </c>
      <c r="V138" s="9"/>
      <c r="W138" s="9"/>
      <c r="X138" s="9"/>
      <c r="Y138" s="9"/>
    </row>
    <row r="139">
      <c r="A139" s="10" t="s">
        <v>263</v>
      </c>
      <c r="B139" s="11">
        <v>45804.0</v>
      </c>
      <c r="C139" s="10" t="s">
        <v>131</v>
      </c>
      <c r="D139" s="10" t="s">
        <v>23</v>
      </c>
      <c r="E139" s="10" t="s">
        <v>83</v>
      </c>
      <c r="F139" s="10" t="s">
        <v>25</v>
      </c>
      <c r="G139" s="10" t="s">
        <v>66</v>
      </c>
      <c r="H139" s="10" t="s">
        <v>39</v>
      </c>
      <c r="I139" s="10">
        <v>3.0</v>
      </c>
      <c r="J139" s="10">
        <v>14999.0</v>
      </c>
      <c r="K139" s="10">
        <v>0.0</v>
      </c>
      <c r="L139" s="10" t="s">
        <v>45</v>
      </c>
      <c r="M139" s="10" t="s">
        <v>29</v>
      </c>
      <c r="N139" s="10" t="s">
        <v>30</v>
      </c>
      <c r="O139" s="10" t="s">
        <v>41</v>
      </c>
      <c r="P139" s="10" t="s">
        <v>87</v>
      </c>
      <c r="Q139" s="10"/>
      <c r="R139" s="7">
        <f t="shared" si="1"/>
        <v>44997</v>
      </c>
      <c r="S139" s="8">
        <f t="shared" si="2"/>
        <v>8099.46</v>
      </c>
      <c r="T139" s="8">
        <f t="shared" si="3"/>
        <v>53096.46</v>
      </c>
      <c r="U139" s="8" t="str">
        <f t="shared" si="4"/>
        <v>Q2</v>
      </c>
      <c r="V139" s="9"/>
      <c r="W139" s="9"/>
      <c r="X139" s="9"/>
      <c r="Y139" s="9"/>
    </row>
    <row r="140">
      <c r="A140" s="10" t="s">
        <v>264</v>
      </c>
      <c r="B140" s="11">
        <v>45547.0</v>
      </c>
      <c r="C140" s="10" t="s">
        <v>225</v>
      </c>
      <c r="D140" s="10" t="s">
        <v>35</v>
      </c>
      <c r="E140" s="10" t="s">
        <v>36</v>
      </c>
      <c r="F140" s="10" t="s">
        <v>54</v>
      </c>
      <c r="G140" s="10" t="s">
        <v>26</v>
      </c>
      <c r="H140" s="10" t="s">
        <v>27</v>
      </c>
      <c r="I140" s="10">
        <v>1.0</v>
      </c>
      <c r="J140" s="10">
        <v>9999.0</v>
      </c>
      <c r="K140" s="10">
        <v>15.0</v>
      </c>
      <c r="L140" s="10" t="s">
        <v>28</v>
      </c>
      <c r="M140" s="10" t="s">
        <v>29</v>
      </c>
      <c r="N140" s="10" t="s">
        <v>94</v>
      </c>
      <c r="O140" s="10" t="s">
        <v>31</v>
      </c>
      <c r="P140" s="10" t="s">
        <v>47</v>
      </c>
      <c r="Q140" s="10"/>
      <c r="R140" s="7">
        <f t="shared" si="1"/>
        <v>8499.15</v>
      </c>
      <c r="S140" s="8">
        <f t="shared" si="2"/>
        <v>1296.480508</v>
      </c>
      <c r="T140" s="8">
        <f t="shared" si="3"/>
        <v>8499.15</v>
      </c>
      <c r="U140" s="8" t="str">
        <f t="shared" si="4"/>
        <v>Q3</v>
      </c>
      <c r="V140" s="9"/>
      <c r="W140" s="9"/>
      <c r="X140" s="9"/>
      <c r="Y140" s="9"/>
    </row>
    <row r="141">
      <c r="A141" s="10" t="s">
        <v>265</v>
      </c>
      <c r="B141" s="11">
        <v>45514.0</v>
      </c>
      <c r="C141" s="10" t="s">
        <v>96</v>
      </c>
      <c r="D141" s="10" t="s">
        <v>35</v>
      </c>
      <c r="E141" s="10" t="s">
        <v>85</v>
      </c>
      <c r="F141" s="10" t="s">
        <v>37</v>
      </c>
      <c r="G141" s="10" t="s">
        <v>38</v>
      </c>
      <c r="H141" s="10" t="s">
        <v>39</v>
      </c>
      <c r="I141" s="10">
        <v>1.0</v>
      </c>
      <c r="J141" s="10">
        <v>4999.0</v>
      </c>
      <c r="K141" s="10">
        <v>15.0</v>
      </c>
      <c r="L141" s="10" t="s">
        <v>45</v>
      </c>
      <c r="M141" s="10" t="s">
        <v>29</v>
      </c>
      <c r="N141" s="10" t="s">
        <v>30</v>
      </c>
      <c r="O141" s="10" t="s">
        <v>31</v>
      </c>
      <c r="P141" s="10" t="s">
        <v>32</v>
      </c>
      <c r="Q141" s="10"/>
      <c r="R141" s="7">
        <f t="shared" si="1"/>
        <v>4249.15</v>
      </c>
      <c r="S141" s="8">
        <f t="shared" si="2"/>
        <v>764.847</v>
      </c>
      <c r="T141" s="8">
        <f t="shared" si="3"/>
        <v>5013.997</v>
      </c>
      <c r="U141" s="8" t="str">
        <f t="shared" si="4"/>
        <v>Q3</v>
      </c>
      <c r="V141" s="9"/>
      <c r="W141" s="9"/>
      <c r="X141" s="9"/>
      <c r="Y141" s="9"/>
    </row>
    <row r="142">
      <c r="A142" s="10" t="s">
        <v>266</v>
      </c>
      <c r="B142" s="11">
        <v>45666.0</v>
      </c>
      <c r="C142" s="10" t="s">
        <v>183</v>
      </c>
      <c r="D142" s="10" t="s">
        <v>23</v>
      </c>
      <c r="E142" s="10" t="s">
        <v>24</v>
      </c>
      <c r="F142" s="10" t="s">
        <v>86</v>
      </c>
      <c r="G142" s="10" t="s">
        <v>38</v>
      </c>
      <c r="H142" s="10" t="s">
        <v>39</v>
      </c>
      <c r="I142" s="10">
        <v>5.0</v>
      </c>
      <c r="J142" s="10">
        <v>4999.0</v>
      </c>
      <c r="K142" s="10">
        <v>15.0</v>
      </c>
      <c r="L142" s="10" t="s">
        <v>28</v>
      </c>
      <c r="M142" s="10" t="s">
        <v>29</v>
      </c>
      <c r="N142" s="10" t="s">
        <v>57</v>
      </c>
      <c r="O142" s="10" t="s">
        <v>41</v>
      </c>
      <c r="P142" s="10" t="s">
        <v>32</v>
      </c>
      <c r="Q142" s="10"/>
      <c r="R142" s="7">
        <f t="shared" si="1"/>
        <v>21245.75</v>
      </c>
      <c r="S142" s="8">
        <f t="shared" si="2"/>
        <v>3240.877119</v>
      </c>
      <c r="T142" s="8">
        <f t="shared" si="3"/>
        <v>21245.75</v>
      </c>
      <c r="U142" s="8" t="str">
        <f t="shared" si="4"/>
        <v>Q1</v>
      </c>
      <c r="V142" s="9"/>
      <c r="W142" s="9"/>
      <c r="X142" s="9"/>
      <c r="Y142" s="9"/>
    </row>
    <row r="143">
      <c r="A143" s="10" t="s">
        <v>267</v>
      </c>
      <c r="B143" s="11">
        <v>45528.0</v>
      </c>
      <c r="C143" s="10" t="s">
        <v>144</v>
      </c>
      <c r="D143" s="10" t="s">
        <v>80</v>
      </c>
      <c r="E143" s="10" t="s">
        <v>92</v>
      </c>
      <c r="F143" s="10" t="s">
        <v>37</v>
      </c>
      <c r="G143" s="10" t="s">
        <v>66</v>
      </c>
      <c r="H143" s="10" t="s">
        <v>39</v>
      </c>
      <c r="I143" s="10">
        <v>1.0</v>
      </c>
      <c r="J143" s="10">
        <v>14999.0</v>
      </c>
      <c r="K143" s="10">
        <v>10.0</v>
      </c>
      <c r="L143" s="10" t="s">
        <v>45</v>
      </c>
      <c r="M143" s="10" t="s">
        <v>29</v>
      </c>
      <c r="N143" s="10" t="s">
        <v>89</v>
      </c>
      <c r="O143" s="10" t="s">
        <v>31</v>
      </c>
      <c r="P143" s="10" t="s">
        <v>32</v>
      </c>
      <c r="Q143" s="10"/>
      <c r="R143" s="7">
        <f t="shared" si="1"/>
        <v>13499.1</v>
      </c>
      <c r="S143" s="8">
        <f t="shared" si="2"/>
        <v>2429.838</v>
      </c>
      <c r="T143" s="8">
        <f t="shared" si="3"/>
        <v>15928.938</v>
      </c>
      <c r="U143" s="8" t="str">
        <f t="shared" si="4"/>
        <v>Q3</v>
      </c>
      <c r="V143" s="9"/>
      <c r="W143" s="9"/>
      <c r="X143" s="9"/>
      <c r="Y143" s="9"/>
    </row>
    <row r="144">
      <c r="A144" s="10" t="s">
        <v>268</v>
      </c>
      <c r="B144" s="11">
        <v>45640.0</v>
      </c>
      <c r="C144" s="10" t="s">
        <v>153</v>
      </c>
      <c r="D144" s="10" t="s">
        <v>23</v>
      </c>
      <c r="E144" s="10" t="s">
        <v>83</v>
      </c>
      <c r="F144" s="10" t="s">
        <v>181</v>
      </c>
      <c r="G144" s="10" t="s">
        <v>106</v>
      </c>
      <c r="H144" s="10" t="s">
        <v>27</v>
      </c>
      <c r="I144" s="10">
        <v>-1.0</v>
      </c>
      <c r="J144" s="10">
        <v>999.0</v>
      </c>
      <c r="K144" s="10">
        <v>15.0</v>
      </c>
      <c r="L144" s="10" t="s">
        <v>45</v>
      </c>
      <c r="M144" s="10" t="s">
        <v>29</v>
      </c>
      <c r="N144" s="10" t="s">
        <v>30</v>
      </c>
      <c r="O144" s="10" t="s">
        <v>67</v>
      </c>
      <c r="P144" s="12" t="s">
        <v>77</v>
      </c>
      <c r="Q144" s="11">
        <v>46005.0</v>
      </c>
      <c r="R144" s="7">
        <f t="shared" si="1"/>
        <v>-849.15</v>
      </c>
      <c r="S144" s="8">
        <f t="shared" si="2"/>
        <v>-152.847</v>
      </c>
      <c r="T144" s="8">
        <f t="shared" si="3"/>
        <v>-1001.997</v>
      </c>
      <c r="U144" s="8" t="str">
        <f t="shared" si="4"/>
        <v>Q4</v>
      </c>
      <c r="V144" s="9"/>
      <c r="W144" s="9"/>
      <c r="X144" s="9"/>
      <c r="Y144" s="9"/>
    </row>
    <row r="145">
      <c r="A145" s="10" t="s">
        <v>269</v>
      </c>
      <c r="B145" s="11">
        <v>45548.0</v>
      </c>
      <c r="C145" s="10" t="s">
        <v>64</v>
      </c>
      <c r="D145" s="10" t="s">
        <v>80</v>
      </c>
      <c r="E145" s="10" t="s">
        <v>92</v>
      </c>
      <c r="F145" s="10" t="s">
        <v>37</v>
      </c>
      <c r="G145" s="10" t="s">
        <v>26</v>
      </c>
      <c r="H145" s="10" t="s">
        <v>27</v>
      </c>
      <c r="I145" s="10">
        <v>1.0</v>
      </c>
      <c r="J145" s="10">
        <v>9999.0</v>
      </c>
      <c r="K145" s="10">
        <v>15.0</v>
      </c>
      <c r="L145" s="10" t="s">
        <v>28</v>
      </c>
      <c r="M145" s="10" t="s">
        <v>29</v>
      </c>
      <c r="N145" s="10" t="s">
        <v>30</v>
      </c>
      <c r="O145" s="10" t="s">
        <v>31</v>
      </c>
      <c r="P145" s="10" t="s">
        <v>32</v>
      </c>
      <c r="Q145" s="11">
        <v>45913.0</v>
      </c>
      <c r="R145" s="7">
        <f t="shared" si="1"/>
        <v>8499.15</v>
      </c>
      <c r="S145" s="8">
        <f t="shared" si="2"/>
        <v>1296.480508</v>
      </c>
      <c r="T145" s="8">
        <f t="shared" si="3"/>
        <v>8499.15</v>
      </c>
      <c r="U145" s="8" t="str">
        <f t="shared" si="4"/>
        <v>Q3</v>
      </c>
      <c r="V145" s="9"/>
      <c r="W145" s="9"/>
      <c r="X145" s="9"/>
      <c r="Y145" s="9"/>
    </row>
    <row r="146">
      <c r="A146" s="10" t="s">
        <v>270</v>
      </c>
      <c r="B146" s="11">
        <v>45791.0</v>
      </c>
      <c r="C146" s="10" t="s">
        <v>116</v>
      </c>
      <c r="D146" s="10" t="s">
        <v>60</v>
      </c>
      <c r="E146" s="10" t="s">
        <v>102</v>
      </c>
      <c r="F146" s="10" t="s">
        <v>54</v>
      </c>
      <c r="G146" s="10" t="s">
        <v>26</v>
      </c>
      <c r="H146" s="10" t="s">
        <v>27</v>
      </c>
      <c r="I146" s="10">
        <v>1.0</v>
      </c>
      <c r="J146" s="10">
        <v>9999.0</v>
      </c>
      <c r="K146" s="10">
        <v>20.0</v>
      </c>
      <c r="L146" s="10" t="s">
        <v>28</v>
      </c>
      <c r="M146" s="10" t="s">
        <v>29</v>
      </c>
      <c r="N146" s="10" t="s">
        <v>57</v>
      </c>
      <c r="O146" s="10" t="s">
        <v>67</v>
      </c>
      <c r="P146" s="10" t="s">
        <v>32</v>
      </c>
      <c r="Q146" s="11">
        <v>45881.0</v>
      </c>
      <c r="R146" s="7">
        <f t="shared" si="1"/>
        <v>7999.2</v>
      </c>
      <c r="S146" s="8">
        <f t="shared" si="2"/>
        <v>1220.216949</v>
      </c>
      <c r="T146" s="8">
        <f t="shared" si="3"/>
        <v>7999.2</v>
      </c>
      <c r="U146" s="8" t="str">
        <f t="shared" si="4"/>
        <v>Q2</v>
      </c>
      <c r="V146" s="9"/>
      <c r="W146" s="9"/>
      <c r="X146" s="9"/>
      <c r="Y146" s="9"/>
    </row>
    <row r="147">
      <c r="A147" s="10" t="s">
        <v>271</v>
      </c>
      <c r="B147" s="11">
        <v>45768.0</v>
      </c>
      <c r="C147" s="10" t="s">
        <v>183</v>
      </c>
      <c r="D147" s="10" t="s">
        <v>80</v>
      </c>
      <c r="E147" s="10" t="s">
        <v>92</v>
      </c>
      <c r="F147" s="10" t="s">
        <v>51</v>
      </c>
      <c r="G147" s="10" t="s">
        <v>106</v>
      </c>
      <c r="H147" s="10" t="s">
        <v>27</v>
      </c>
      <c r="I147" s="10">
        <v>1.0</v>
      </c>
      <c r="J147" s="10">
        <v>999.0</v>
      </c>
      <c r="K147" s="10">
        <v>10.0</v>
      </c>
      <c r="L147" s="10" t="s">
        <v>45</v>
      </c>
      <c r="M147" s="10" t="s">
        <v>29</v>
      </c>
      <c r="N147" s="10" t="s">
        <v>40</v>
      </c>
      <c r="O147" s="10" t="s">
        <v>67</v>
      </c>
      <c r="P147" s="10" t="s">
        <v>87</v>
      </c>
      <c r="Q147" s="10"/>
      <c r="R147" s="7">
        <f t="shared" si="1"/>
        <v>899.1</v>
      </c>
      <c r="S147" s="8">
        <f t="shared" si="2"/>
        <v>161.838</v>
      </c>
      <c r="T147" s="8">
        <f t="shared" si="3"/>
        <v>1060.938</v>
      </c>
      <c r="U147" s="8" t="str">
        <f t="shared" si="4"/>
        <v>Q2</v>
      </c>
      <c r="V147" s="9"/>
      <c r="W147" s="9"/>
      <c r="X147" s="9"/>
      <c r="Y147" s="9"/>
    </row>
    <row r="148">
      <c r="A148" s="10" t="s">
        <v>272</v>
      </c>
      <c r="B148" s="11">
        <v>45683.0</v>
      </c>
      <c r="C148" s="10" t="s">
        <v>220</v>
      </c>
      <c r="D148" s="10" t="s">
        <v>60</v>
      </c>
      <c r="E148" s="10" t="s">
        <v>110</v>
      </c>
      <c r="F148" s="10" t="s">
        <v>51</v>
      </c>
      <c r="G148" s="10" t="s">
        <v>55</v>
      </c>
      <c r="H148" s="10" t="s">
        <v>56</v>
      </c>
      <c r="I148" s="10">
        <v>1.0</v>
      </c>
      <c r="J148" s="10">
        <v>1499.0</v>
      </c>
      <c r="K148" s="10">
        <v>5.0</v>
      </c>
      <c r="L148" s="10" t="s">
        <v>45</v>
      </c>
      <c r="M148" s="10" t="s">
        <v>29</v>
      </c>
      <c r="N148" s="10" t="s">
        <v>30</v>
      </c>
      <c r="O148" s="10" t="s">
        <v>31</v>
      </c>
      <c r="P148" s="10" t="s">
        <v>32</v>
      </c>
      <c r="Q148" s="10"/>
      <c r="R148" s="7">
        <f t="shared" si="1"/>
        <v>1424.05</v>
      </c>
      <c r="S148" s="8">
        <f t="shared" si="2"/>
        <v>256.329</v>
      </c>
      <c r="T148" s="8">
        <f t="shared" si="3"/>
        <v>1680.379</v>
      </c>
      <c r="U148" s="8" t="str">
        <f t="shared" si="4"/>
        <v>Q1</v>
      </c>
      <c r="V148" s="9"/>
      <c r="W148" s="9"/>
      <c r="X148" s="9"/>
      <c r="Y148" s="9"/>
    </row>
    <row r="149">
      <c r="A149" s="10" t="s">
        <v>273</v>
      </c>
      <c r="B149" s="11">
        <v>45778.0</v>
      </c>
      <c r="C149" s="10" t="s">
        <v>157</v>
      </c>
      <c r="D149" s="10" t="s">
        <v>60</v>
      </c>
      <c r="E149" s="10" t="s">
        <v>102</v>
      </c>
      <c r="F149" s="10" t="s">
        <v>51</v>
      </c>
      <c r="G149" s="10" t="s">
        <v>38</v>
      </c>
      <c r="H149" s="10" t="s">
        <v>39</v>
      </c>
      <c r="I149" s="10">
        <v>1.0</v>
      </c>
      <c r="J149" s="10">
        <v>4999.0</v>
      </c>
      <c r="K149" s="10">
        <v>5.0</v>
      </c>
      <c r="L149" s="10" t="s">
        <v>45</v>
      </c>
      <c r="M149" s="10" t="s">
        <v>166</v>
      </c>
      <c r="N149" s="10" t="s">
        <v>94</v>
      </c>
      <c r="O149" s="10" t="s">
        <v>31</v>
      </c>
      <c r="P149" s="10" t="s">
        <v>77</v>
      </c>
      <c r="Q149" s="10"/>
      <c r="R149" s="7">
        <f t="shared" si="1"/>
        <v>4749.05</v>
      </c>
      <c r="S149" s="8">
        <f t="shared" si="2"/>
        <v>854.829</v>
      </c>
      <c r="T149" s="8">
        <f t="shared" si="3"/>
        <v>5603.879</v>
      </c>
      <c r="U149" s="8" t="str">
        <f t="shared" si="4"/>
        <v>Q2</v>
      </c>
      <c r="V149" s="9"/>
      <c r="W149" s="9"/>
      <c r="X149" s="9"/>
      <c r="Y149" s="9"/>
    </row>
    <row r="150">
      <c r="A150" s="10" t="s">
        <v>274</v>
      </c>
      <c r="B150" s="11">
        <v>45739.0</v>
      </c>
      <c r="C150" s="10" t="s">
        <v>134</v>
      </c>
      <c r="D150" s="10" t="s">
        <v>60</v>
      </c>
      <c r="E150" s="10" t="s">
        <v>102</v>
      </c>
      <c r="F150" s="10" t="s">
        <v>65</v>
      </c>
      <c r="G150" s="10" t="s">
        <v>93</v>
      </c>
      <c r="H150" s="10" t="s">
        <v>27</v>
      </c>
      <c r="I150" s="10">
        <v>1.0</v>
      </c>
      <c r="J150" s="10">
        <v>2999.0</v>
      </c>
      <c r="K150" s="10">
        <v>5.0</v>
      </c>
      <c r="L150" s="10" t="s">
        <v>45</v>
      </c>
      <c r="M150" s="10" t="s">
        <v>29</v>
      </c>
      <c r="N150" s="10" t="s">
        <v>40</v>
      </c>
      <c r="O150" s="10" t="s">
        <v>67</v>
      </c>
      <c r="P150" s="10" t="s">
        <v>32</v>
      </c>
      <c r="Q150" s="11">
        <v>45829.0</v>
      </c>
      <c r="R150" s="7">
        <f t="shared" si="1"/>
        <v>2849.05</v>
      </c>
      <c r="S150" s="8">
        <f t="shared" si="2"/>
        <v>512.829</v>
      </c>
      <c r="T150" s="8">
        <f t="shared" si="3"/>
        <v>3361.879</v>
      </c>
      <c r="U150" s="8" t="str">
        <f t="shared" si="4"/>
        <v>Q1</v>
      </c>
      <c r="V150" s="9"/>
      <c r="W150" s="9"/>
      <c r="X150" s="9"/>
      <c r="Y150" s="9"/>
    </row>
    <row r="151">
      <c r="A151" s="10" t="s">
        <v>275</v>
      </c>
      <c r="B151" s="11">
        <v>45546.0</v>
      </c>
      <c r="C151" s="10" t="s">
        <v>220</v>
      </c>
      <c r="D151" s="10" t="s">
        <v>60</v>
      </c>
      <c r="E151" s="10" t="s">
        <v>102</v>
      </c>
      <c r="F151" s="10" t="s">
        <v>86</v>
      </c>
      <c r="G151" s="10" t="s">
        <v>106</v>
      </c>
      <c r="H151" s="10" t="s">
        <v>27</v>
      </c>
      <c r="I151" s="10">
        <v>1.0</v>
      </c>
      <c r="J151" s="10">
        <v>999.0</v>
      </c>
      <c r="K151" s="10">
        <v>5.0</v>
      </c>
      <c r="L151" s="10" t="s">
        <v>45</v>
      </c>
      <c r="M151" s="10" t="s">
        <v>29</v>
      </c>
      <c r="N151" s="10" t="s">
        <v>40</v>
      </c>
      <c r="O151" s="10" t="s">
        <v>31</v>
      </c>
      <c r="P151" s="10" t="s">
        <v>32</v>
      </c>
      <c r="Q151" s="11">
        <v>45636.0</v>
      </c>
      <c r="R151" s="7">
        <f t="shared" si="1"/>
        <v>949.05</v>
      </c>
      <c r="S151" s="8">
        <f t="shared" si="2"/>
        <v>170.829</v>
      </c>
      <c r="T151" s="8">
        <f t="shared" si="3"/>
        <v>1119.879</v>
      </c>
      <c r="U151" s="8" t="str">
        <f t="shared" si="4"/>
        <v>Q3</v>
      </c>
      <c r="V151" s="9"/>
      <c r="W151" s="9"/>
      <c r="X151" s="9"/>
      <c r="Y151" s="9"/>
    </row>
    <row r="152">
      <c r="A152" s="10" t="s">
        <v>276</v>
      </c>
      <c r="B152" s="11">
        <v>45529.0</v>
      </c>
      <c r="C152" s="10" t="s">
        <v>225</v>
      </c>
      <c r="D152" s="10" t="s">
        <v>35</v>
      </c>
      <c r="E152" s="10" t="s">
        <v>36</v>
      </c>
      <c r="F152" s="10" t="s">
        <v>74</v>
      </c>
      <c r="G152" s="10" t="s">
        <v>38</v>
      </c>
      <c r="H152" s="10" t="s">
        <v>39</v>
      </c>
      <c r="I152" s="10">
        <v>1.0</v>
      </c>
      <c r="J152" s="10">
        <v>4999.0</v>
      </c>
      <c r="K152" s="10">
        <v>5.0</v>
      </c>
      <c r="L152" s="10" t="s">
        <v>45</v>
      </c>
      <c r="M152" s="10" t="s">
        <v>29</v>
      </c>
      <c r="N152" s="10" t="s">
        <v>76</v>
      </c>
      <c r="O152" s="10" t="s">
        <v>31</v>
      </c>
      <c r="P152" s="10" t="s">
        <v>32</v>
      </c>
      <c r="Q152" s="10"/>
      <c r="R152" s="7">
        <f t="shared" si="1"/>
        <v>4749.05</v>
      </c>
      <c r="S152" s="8">
        <f t="shared" si="2"/>
        <v>854.829</v>
      </c>
      <c r="T152" s="8">
        <f t="shared" si="3"/>
        <v>5603.879</v>
      </c>
      <c r="U152" s="8" t="str">
        <f t="shared" si="4"/>
        <v>Q3</v>
      </c>
      <c r="V152" s="9"/>
      <c r="W152" s="9"/>
      <c r="X152" s="9"/>
      <c r="Y152" s="9"/>
    </row>
    <row r="153">
      <c r="A153" s="10" t="s">
        <v>277</v>
      </c>
      <c r="B153" s="11">
        <v>45575.0</v>
      </c>
      <c r="C153" s="10" t="s">
        <v>53</v>
      </c>
      <c r="D153" s="10" t="s">
        <v>60</v>
      </c>
      <c r="E153" s="10" t="s">
        <v>110</v>
      </c>
      <c r="F153" s="10" t="s">
        <v>86</v>
      </c>
      <c r="G153" s="10" t="s">
        <v>26</v>
      </c>
      <c r="H153" s="10" t="s">
        <v>27</v>
      </c>
      <c r="I153" s="10">
        <v>1.0</v>
      </c>
      <c r="J153" s="10">
        <v>9999.0</v>
      </c>
      <c r="K153" s="10">
        <v>0.0</v>
      </c>
      <c r="L153" s="10" t="s">
        <v>28</v>
      </c>
      <c r="M153" s="10" t="s">
        <v>29</v>
      </c>
      <c r="N153" s="10" t="s">
        <v>30</v>
      </c>
      <c r="O153" s="10" t="s">
        <v>67</v>
      </c>
      <c r="P153" s="10" t="s">
        <v>77</v>
      </c>
      <c r="Q153" s="10"/>
      <c r="R153" s="7">
        <f t="shared" si="1"/>
        <v>9999</v>
      </c>
      <c r="S153" s="8">
        <f t="shared" si="2"/>
        <v>1525.271186</v>
      </c>
      <c r="T153" s="8">
        <f t="shared" si="3"/>
        <v>9999</v>
      </c>
      <c r="U153" s="8" t="str">
        <f t="shared" si="4"/>
        <v>Q4</v>
      </c>
      <c r="V153" s="9"/>
      <c r="W153" s="9"/>
      <c r="X153" s="9"/>
      <c r="Y153" s="9"/>
    </row>
    <row r="154">
      <c r="A154" s="10" t="s">
        <v>278</v>
      </c>
      <c r="B154" s="11">
        <v>45744.0</v>
      </c>
      <c r="C154" s="10" t="s">
        <v>189</v>
      </c>
      <c r="D154" s="10" t="s">
        <v>35</v>
      </c>
      <c r="E154" s="10" t="s">
        <v>128</v>
      </c>
      <c r="F154" s="10" t="s">
        <v>65</v>
      </c>
      <c r="G154" s="10" t="s">
        <v>55</v>
      </c>
      <c r="H154" s="10" t="s">
        <v>56</v>
      </c>
      <c r="I154" s="10">
        <v>1.0</v>
      </c>
      <c r="J154" s="10">
        <v>1499.0</v>
      </c>
      <c r="K154" s="10">
        <v>0.15</v>
      </c>
      <c r="L154" s="10" t="s">
        <v>45</v>
      </c>
      <c r="M154" s="10" t="s">
        <v>29</v>
      </c>
      <c r="N154" s="10" t="s">
        <v>30</v>
      </c>
      <c r="O154" s="10" t="s">
        <v>46</v>
      </c>
      <c r="P154" s="10" t="s">
        <v>32</v>
      </c>
      <c r="Q154" s="10"/>
      <c r="R154" s="7">
        <f t="shared" si="1"/>
        <v>1496.7515</v>
      </c>
      <c r="S154" s="8">
        <f t="shared" si="2"/>
        <v>269.41527</v>
      </c>
      <c r="T154" s="8">
        <f t="shared" si="3"/>
        <v>1766.16677</v>
      </c>
      <c r="U154" s="8" t="str">
        <f t="shared" si="4"/>
        <v>Q1</v>
      </c>
      <c r="V154" s="9"/>
      <c r="W154" s="9"/>
      <c r="X154" s="9"/>
      <c r="Y154" s="9"/>
    </row>
    <row r="155">
      <c r="A155" s="10" t="s">
        <v>279</v>
      </c>
      <c r="B155" s="11">
        <v>45829.0</v>
      </c>
      <c r="C155" s="10" t="s">
        <v>150</v>
      </c>
      <c r="D155" s="10" t="s">
        <v>80</v>
      </c>
      <c r="E155" s="10" t="s">
        <v>81</v>
      </c>
      <c r="F155" s="10" t="s">
        <v>37</v>
      </c>
      <c r="G155" s="10" t="s">
        <v>93</v>
      </c>
      <c r="H155" s="10" t="s">
        <v>27</v>
      </c>
      <c r="I155" s="10">
        <v>1.0</v>
      </c>
      <c r="J155" s="10">
        <v>2999.0</v>
      </c>
      <c r="K155" s="10">
        <v>0.15</v>
      </c>
      <c r="L155" s="10" t="s">
        <v>45</v>
      </c>
      <c r="M155" s="10" t="s">
        <v>29</v>
      </c>
      <c r="N155" s="10" t="s">
        <v>40</v>
      </c>
      <c r="O155" s="10" t="s">
        <v>67</v>
      </c>
      <c r="P155" s="10" t="s">
        <v>32</v>
      </c>
      <c r="Q155" s="11">
        <v>46194.0</v>
      </c>
      <c r="R155" s="7">
        <f t="shared" si="1"/>
        <v>2994.5015</v>
      </c>
      <c r="S155" s="8">
        <f t="shared" si="2"/>
        <v>539.01027</v>
      </c>
      <c r="T155" s="8">
        <f t="shared" si="3"/>
        <v>3533.51177</v>
      </c>
      <c r="U155" s="8" t="str">
        <f t="shared" si="4"/>
        <v>Q2</v>
      </c>
      <c r="V155" s="9"/>
      <c r="W155" s="9"/>
      <c r="X155" s="9"/>
      <c r="Y155" s="9"/>
    </row>
    <row r="156">
      <c r="A156" s="10" t="s">
        <v>280</v>
      </c>
      <c r="B156" s="11">
        <v>45501.0</v>
      </c>
      <c r="C156" s="10" t="s">
        <v>49</v>
      </c>
      <c r="D156" s="10" t="s">
        <v>60</v>
      </c>
      <c r="E156" s="10" t="s">
        <v>61</v>
      </c>
      <c r="F156" s="10" t="s">
        <v>37</v>
      </c>
      <c r="G156" s="10" t="s">
        <v>26</v>
      </c>
      <c r="H156" s="10" t="s">
        <v>27</v>
      </c>
      <c r="I156" s="10">
        <v>1.0</v>
      </c>
      <c r="J156" s="10">
        <v>9999.0</v>
      </c>
      <c r="K156" s="10">
        <v>20.0</v>
      </c>
      <c r="L156" s="10" t="s">
        <v>45</v>
      </c>
      <c r="M156" s="10" t="s">
        <v>29</v>
      </c>
      <c r="N156" s="10" t="s">
        <v>40</v>
      </c>
      <c r="O156" s="10" t="s">
        <v>31</v>
      </c>
      <c r="P156" s="10" t="s">
        <v>32</v>
      </c>
      <c r="Q156" s="11">
        <v>45866.0</v>
      </c>
      <c r="R156" s="7">
        <f t="shared" si="1"/>
        <v>7999.2</v>
      </c>
      <c r="S156" s="8">
        <f t="shared" si="2"/>
        <v>1439.856</v>
      </c>
      <c r="T156" s="8">
        <f t="shared" si="3"/>
        <v>9439.056</v>
      </c>
      <c r="U156" s="8" t="str">
        <f t="shared" si="4"/>
        <v>Q3</v>
      </c>
      <c r="V156" s="9"/>
      <c r="W156" s="9"/>
      <c r="X156" s="9"/>
      <c r="Y156" s="9"/>
    </row>
    <row r="157">
      <c r="A157" s="10" t="s">
        <v>281</v>
      </c>
      <c r="B157" s="11">
        <v>45586.0</v>
      </c>
      <c r="C157" s="10" t="s">
        <v>161</v>
      </c>
      <c r="D157" s="10" t="s">
        <v>60</v>
      </c>
      <c r="E157" s="10" t="s">
        <v>122</v>
      </c>
      <c r="F157" s="10" t="s">
        <v>25</v>
      </c>
      <c r="G157" s="10" t="s">
        <v>55</v>
      </c>
      <c r="H157" s="10" t="s">
        <v>56</v>
      </c>
      <c r="I157" s="10">
        <v>1.0</v>
      </c>
      <c r="J157" s="10">
        <v>1499.0</v>
      </c>
      <c r="K157" s="10">
        <v>10.0</v>
      </c>
      <c r="L157" s="10" t="s">
        <v>45</v>
      </c>
      <c r="M157" s="10" t="s">
        <v>29</v>
      </c>
      <c r="N157" s="10" t="s">
        <v>40</v>
      </c>
      <c r="O157" s="10" t="s">
        <v>41</v>
      </c>
      <c r="P157" s="10" t="s">
        <v>32</v>
      </c>
      <c r="Q157" s="10"/>
      <c r="R157" s="7">
        <f t="shared" si="1"/>
        <v>1349.1</v>
      </c>
      <c r="S157" s="8">
        <f t="shared" si="2"/>
        <v>242.838</v>
      </c>
      <c r="T157" s="8">
        <f t="shared" si="3"/>
        <v>1591.938</v>
      </c>
      <c r="U157" s="8" t="str">
        <f t="shared" si="4"/>
        <v>Q4</v>
      </c>
      <c r="V157" s="9"/>
      <c r="W157" s="9"/>
      <c r="X157" s="9"/>
      <c r="Y157" s="9"/>
    </row>
    <row r="158">
      <c r="A158" s="10" t="s">
        <v>282</v>
      </c>
      <c r="B158" s="11">
        <v>45585.0</v>
      </c>
      <c r="C158" s="10" t="s">
        <v>22</v>
      </c>
      <c r="D158" s="10" t="s">
        <v>35</v>
      </c>
      <c r="E158" s="10" t="s">
        <v>50</v>
      </c>
      <c r="F158" s="10" t="s">
        <v>65</v>
      </c>
      <c r="G158" s="10" t="s">
        <v>75</v>
      </c>
      <c r="H158" s="10" t="s">
        <v>56</v>
      </c>
      <c r="I158" s="10">
        <v>1.0</v>
      </c>
      <c r="J158" s="10">
        <v>799.0</v>
      </c>
      <c r="K158" s="10">
        <v>5.0</v>
      </c>
      <c r="L158" s="10" t="s">
        <v>28</v>
      </c>
      <c r="M158" s="10" t="s">
        <v>29</v>
      </c>
      <c r="N158" s="10" t="s">
        <v>30</v>
      </c>
      <c r="O158" s="10" t="s">
        <v>41</v>
      </c>
      <c r="P158" s="10" t="s">
        <v>32</v>
      </c>
      <c r="Q158" s="10"/>
      <c r="R158" s="7">
        <f t="shared" si="1"/>
        <v>759.05</v>
      </c>
      <c r="S158" s="8">
        <f t="shared" si="2"/>
        <v>115.7872881</v>
      </c>
      <c r="T158" s="8">
        <f t="shared" si="3"/>
        <v>759.05</v>
      </c>
      <c r="U158" s="8" t="str">
        <f t="shared" si="4"/>
        <v>Q4</v>
      </c>
      <c r="V158" s="9"/>
      <c r="W158" s="9"/>
      <c r="X158" s="9"/>
      <c r="Y158" s="9"/>
    </row>
    <row r="159">
      <c r="A159" s="10" t="s">
        <v>283</v>
      </c>
      <c r="B159" s="11">
        <v>45786.0</v>
      </c>
      <c r="C159" s="10" t="s">
        <v>34</v>
      </c>
      <c r="D159" s="10" t="s">
        <v>23</v>
      </c>
      <c r="E159" s="10" t="s">
        <v>73</v>
      </c>
      <c r="F159" s="10" t="s">
        <v>44</v>
      </c>
      <c r="G159" s="10" t="s">
        <v>26</v>
      </c>
      <c r="H159" s="10" t="s">
        <v>27</v>
      </c>
      <c r="I159" s="10">
        <v>1.0</v>
      </c>
      <c r="J159" s="10">
        <v>9999.0</v>
      </c>
      <c r="K159" s="10">
        <v>0.0</v>
      </c>
      <c r="L159" s="10" t="s">
        <v>45</v>
      </c>
      <c r="M159" s="10" t="s">
        <v>29</v>
      </c>
      <c r="N159" s="10" t="s">
        <v>30</v>
      </c>
      <c r="O159" s="10" t="s">
        <v>46</v>
      </c>
      <c r="P159" s="10" t="s">
        <v>62</v>
      </c>
      <c r="Q159" s="10"/>
      <c r="R159" s="7">
        <f t="shared" si="1"/>
        <v>9999</v>
      </c>
      <c r="S159" s="8">
        <f t="shared" si="2"/>
        <v>1799.82</v>
      </c>
      <c r="T159" s="8">
        <f t="shared" si="3"/>
        <v>11798.82</v>
      </c>
      <c r="U159" s="8" t="str">
        <f t="shared" si="4"/>
        <v>Q2</v>
      </c>
      <c r="V159" s="9"/>
      <c r="W159" s="9"/>
      <c r="X159" s="9"/>
      <c r="Y159" s="9"/>
    </row>
    <row r="160">
      <c r="A160" s="10" t="s">
        <v>284</v>
      </c>
      <c r="B160" s="11">
        <v>45737.0</v>
      </c>
      <c r="C160" s="10" t="s">
        <v>96</v>
      </c>
      <c r="D160" s="10" t="s">
        <v>80</v>
      </c>
      <c r="E160" s="10" t="s">
        <v>81</v>
      </c>
      <c r="F160" s="10" t="s">
        <v>51</v>
      </c>
      <c r="G160" s="10" t="s">
        <v>66</v>
      </c>
      <c r="H160" s="10" t="s">
        <v>39</v>
      </c>
      <c r="I160" s="10">
        <v>5.0</v>
      </c>
      <c r="J160" s="10">
        <v>14999.0</v>
      </c>
      <c r="K160" s="10">
        <v>0.0</v>
      </c>
      <c r="L160" s="10" t="s">
        <v>28</v>
      </c>
      <c r="M160" s="10" t="s">
        <v>29</v>
      </c>
      <c r="N160" s="10" t="s">
        <v>40</v>
      </c>
      <c r="O160" s="10" t="s">
        <v>67</v>
      </c>
      <c r="P160" s="10" t="s">
        <v>47</v>
      </c>
      <c r="Q160" s="10"/>
      <c r="R160" s="7">
        <f t="shared" si="1"/>
        <v>74995</v>
      </c>
      <c r="S160" s="8">
        <f t="shared" si="2"/>
        <v>11439.91525</v>
      </c>
      <c r="T160" s="8">
        <f t="shared" si="3"/>
        <v>74995</v>
      </c>
      <c r="U160" s="8" t="str">
        <f t="shared" si="4"/>
        <v>Q1</v>
      </c>
      <c r="V160" s="9"/>
      <c r="W160" s="9"/>
      <c r="X160" s="9"/>
      <c r="Y160" s="9"/>
    </row>
    <row r="161">
      <c r="A161" s="10" t="s">
        <v>285</v>
      </c>
      <c r="B161" s="11">
        <v>45820.0</v>
      </c>
      <c r="C161" s="10" t="s">
        <v>206</v>
      </c>
      <c r="D161" s="10" t="s">
        <v>80</v>
      </c>
      <c r="E161" s="10" t="s">
        <v>112</v>
      </c>
      <c r="F161" s="10" t="s">
        <v>51</v>
      </c>
      <c r="G161" s="10" t="s">
        <v>66</v>
      </c>
      <c r="H161" s="10" t="s">
        <v>39</v>
      </c>
      <c r="I161" s="10">
        <v>1.0</v>
      </c>
      <c r="J161" s="10">
        <v>14999.0</v>
      </c>
      <c r="K161" s="10">
        <v>10.0</v>
      </c>
      <c r="L161" s="10" t="s">
        <v>28</v>
      </c>
      <c r="M161" s="10" t="s">
        <v>29</v>
      </c>
      <c r="N161" s="10" t="s">
        <v>40</v>
      </c>
      <c r="O161" s="10" t="s">
        <v>46</v>
      </c>
      <c r="P161" s="10" t="s">
        <v>77</v>
      </c>
      <c r="Q161" s="10"/>
      <c r="R161" s="7">
        <f t="shared" si="1"/>
        <v>13499.1</v>
      </c>
      <c r="S161" s="8">
        <f t="shared" si="2"/>
        <v>2059.184746</v>
      </c>
      <c r="T161" s="8">
        <f t="shared" si="3"/>
        <v>13499.1</v>
      </c>
      <c r="U161" s="8" t="str">
        <f t="shared" si="4"/>
        <v>Q2</v>
      </c>
      <c r="V161" s="9"/>
      <c r="W161" s="9"/>
      <c r="X161" s="9"/>
      <c r="Y161" s="9"/>
    </row>
    <row r="162">
      <c r="A162" s="10" t="s">
        <v>286</v>
      </c>
      <c r="B162" s="11">
        <v>45521.0</v>
      </c>
      <c r="C162" s="10" t="s">
        <v>189</v>
      </c>
      <c r="D162" s="10" t="s">
        <v>60</v>
      </c>
      <c r="E162" s="10" t="s">
        <v>122</v>
      </c>
      <c r="F162" s="10" t="s">
        <v>181</v>
      </c>
      <c r="G162" s="10" t="s">
        <v>106</v>
      </c>
      <c r="H162" s="10" t="s">
        <v>27</v>
      </c>
      <c r="I162" s="10">
        <v>1.0</v>
      </c>
      <c r="J162" s="10">
        <v>999.0</v>
      </c>
      <c r="K162" s="10">
        <v>10.0</v>
      </c>
      <c r="L162" s="10" t="s">
        <v>45</v>
      </c>
      <c r="M162" s="10" t="s">
        <v>29</v>
      </c>
      <c r="N162" s="10" t="s">
        <v>57</v>
      </c>
      <c r="O162" s="10" t="s">
        <v>31</v>
      </c>
      <c r="P162" s="10" t="s">
        <v>87</v>
      </c>
      <c r="Q162" s="10"/>
      <c r="R162" s="7">
        <f t="shared" si="1"/>
        <v>899.1</v>
      </c>
      <c r="S162" s="8">
        <f t="shared" si="2"/>
        <v>161.838</v>
      </c>
      <c r="T162" s="8">
        <f t="shared" si="3"/>
        <v>1060.938</v>
      </c>
      <c r="U162" s="8" t="str">
        <f t="shared" si="4"/>
        <v>Q3</v>
      </c>
      <c r="V162" s="9"/>
      <c r="W162" s="9"/>
      <c r="X162" s="9"/>
      <c r="Y162" s="9"/>
    </row>
    <row r="163">
      <c r="A163" s="10" t="s">
        <v>287</v>
      </c>
      <c r="B163" s="11">
        <v>45915.0</v>
      </c>
      <c r="C163" s="10" t="s">
        <v>288</v>
      </c>
      <c r="D163" s="10" t="s">
        <v>23</v>
      </c>
      <c r="E163" s="10" t="s">
        <v>83</v>
      </c>
      <c r="F163" s="10" t="s">
        <v>65</v>
      </c>
      <c r="G163" s="10" t="s">
        <v>26</v>
      </c>
      <c r="H163" s="10" t="s">
        <v>27</v>
      </c>
      <c r="I163" s="10">
        <v>1.0</v>
      </c>
      <c r="J163" s="10">
        <v>9999.0</v>
      </c>
      <c r="K163" s="10">
        <v>10.0</v>
      </c>
      <c r="L163" s="10" t="s">
        <v>28</v>
      </c>
      <c r="M163" s="10" t="s">
        <v>29</v>
      </c>
      <c r="N163" s="10" t="s">
        <v>57</v>
      </c>
      <c r="O163" s="10" t="s">
        <v>67</v>
      </c>
      <c r="P163" s="10" t="s">
        <v>32</v>
      </c>
      <c r="Q163" s="11">
        <v>46280.0</v>
      </c>
      <c r="R163" s="7">
        <f t="shared" si="1"/>
        <v>8999.1</v>
      </c>
      <c r="S163" s="8">
        <f t="shared" si="2"/>
        <v>1372.744068</v>
      </c>
      <c r="T163" s="8">
        <f t="shared" si="3"/>
        <v>8999.1</v>
      </c>
      <c r="U163" s="8" t="str">
        <f t="shared" si="4"/>
        <v>Q3</v>
      </c>
      <c r="V163" s="9"/>
      <c r="W163" s="9"/>
      <c r="X163" s="9"/>
      <c r="Y163" s="9"/>
    </row>
    <row r="164">
      <c r="A164" s="10" t="s">
        <v>289</v>
      </c>
      <c r="B164" s="11">
        <v>45726.0</v>
      </c>
      <c r="C164" s="10" t="s">
        <v>157</v>
      </c>
      <c r="D164" s="10" t="s">
        <v>60</v>
      </c>
      <c r="E164" s="10" t="s">
        <v>102</v>
      </c>
      <c r="F164" s="10" t="s">
        <v>86</v>
      </c>
      <c r="G164" s="10" t="s">
        <v>106</v>
      </c>
      <c r="H164" s="10" t="s">
        <v>27</v>
      </c>
      <c r="I164" s="10">
        <v>1.0</v>
      </c>
      <c r="J164" s="10">
        <v>0.0</v>
      </c>
      <c r="K164" s="10">
        <v>0.0</v>
      </c>
      <c r="L164" s="10" t="s">
        <v>45</v>
      </c>
      <c r="M164" s="10" t="s">
        <v>29</v>
      </c>
      <c r="N164" s="10" t="s">
        <v>30</v>
      </c>
      <c r="O164" s="10" t="s">
        <v>46</v>
      </c>
      <c r="P164" s="10" t="s">
        <v>32</v>
      </c>
      <c r="Q164" s="11">
        <v>45757.0</v>
      </c>
      <c r="R164" s="7">
        <f t="shared" si="1"/>
        <v>0</v>
      </c>
      <c r="S164" s="8">
        <f t="shared" si="2"/>
        <v>0</v>
      </c>
      <c r="T164" s="8">
        <f t="shared" si="3"/>
        <v>0</v>
      </c>
      <c r="U164" s="8" t="str">
        <f t="shared" si="4"/>
        <v>Q1</v>
      </c>
      <c r="V164" s="9"/>
      <c r="W164" s="9"/>
      <c r="X164" s="9"/>
      <c r="Y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25"/>
    <col customWidth="1" min="2" max="2" width="50.13"/>
    <col customWidth="1" min="3" max="26" width="12.63"/>
  </cols>
  <sheetData>
    <row r="1">
      <c r="A1" s="13" t="s">
        <v>290</v>
      </c>
      <c r="B1" s="13" t="s">
        <v>291</v>
      </c>
      <c r="C1" s="14"/>
      <c r="D1" s="14"/>
      <c r="E1" s="14"/>
      <c r="F1" s="14"/>
      <c r="G1" s="14"/>
      <c r="H1" s="14"/>
      <c r="I1" s="14"/>
      <c r="J1" s="14"/>
      <c r="K1" s="14"/>
      <c r="L1" s="14"/>
      <c r="M1" s="14"/>
      <c r="N1" s="14"/>
      <c r="O1" s="14"/>
      <c r="P1" s="14"/>
      <c r="Q1" s="14"/>
      <c r="R1" s="14"/>
      <c r="S1" s="14"/>
      <c r="T1" s="14"/>
      <c r="U1" s="14"/>
      <c r="V1" s="14"/>
      <c r="W1" s="14"/>
      <c r="X1" s="14"/>
      <c r="Y1" s="14"/>
      <c r="Z1" s="14"/>
    </row>
    <row r="2">
      <c r="A2" s="15" t="s">
        <v>292</v>
      </c>
      <c r="B2" s="15" t="s">
        <v>293</v>
      </c>
      <c r="C2" s="14"/>
      <c r="D2" s="14"/>
      <c r="E2" s="14"/>
      <c r="F2" s="14"/>
      <c r="G2" s="14"/>
      <c r="H2" s="14"/>
      <c r="I2" s="14"/>
      <c r="J2" s="14"/>
      <c r="K2" s="14"/>
      <c r="L2" s="14"/>
      <c r="M2" s="14"/>
      <c r="N2" s="14"/>
      <c r="O2" s="14"/>
      <c r="P2" s="14"/>
      <c r="Q2" s="14"/>
      <c r="R2" s="14"/>
      <c r="S2" s="14"/>
      <c r="T2" s="14"/>
      <c r="U2" s="14"/>
      <c r="V2" s="14"/>
      <c r="W2" s="14"/>
      <c r="X2" s="14"/>
      <c r="Y2" s="14"/>
      <c r="Z2" s="14"/>
    </row>
    <row r="3">
      <c r="A3" s="15" t="s">
        <v>294</v>
      </c>
      <c r="B3" s="15" t="s">
        <v>295</v>
      </c>
      <c r="C3" s="14"/>
      <c r="D3" s="14"/>
      <c r="E3" s="14"/>
      <c r="F3" s="14"/>
      <c r="G3" s="14"/>
      <c r="H3" s="14"/>
      <c r="I3" s="14"/>
      <c r="J3" s="14"/>
      <c r="K3" s="14"/>
      <c r="L3" s="14"/>
      <c r="M3" s="14"/>
      <c r="N3" s="14"/>
      <c r="O3" s="14"/>
      <c r="P3" s="14"/>
      <c r="Q3" s="14"/>
      <c r="R3" s="14"/>
      <c r="S3" s="14"/>
      <c r="T3" s="14"/>
      <c r="U3" s="14"/>
      <c r="V3" s="14"/>
      <c r="W3" s="14"/>
      <c r="X3" s="14"/>
      <c r="Y3" s="14"/>
      <c r="Z3" s="14"/>
    </row>
    <row r="4">
      <c r="A4" s="16" t="s">
        <v>296</v>
      </c>
      <c r="B4" s="15" t="str">
        <f t="array" ref="B4">INDEX('Region Summary'!A2:A5,
 MATCH(MAX('Region Summary'!E2:E5),
       'Region Summary'!E2:E5,
 0))</f>
        <v>West</v>
      </c>
      <c r="C4" s="14"/>
      <c r="D4" s="14"/>
      <c r="E4" s="14"/>
      <c r="F4" s="14"/>
      <c r="G4" s="14"/>
      <c r="H4" s="14"/>
      <c r="I4" s="14"/>
      <c r="J4" s="14"/>
      <c r="K4" s="14"/>
      <c r="L4" s="14"/>
      <c r="M4" s="14"/>
      <c r="N4" s="14"/>
      <c r="O4" s="14"/>
      <c r="P4" s="14"/>
      <c r="Q4" s="14"/>
      <c r="R4" s="14"/>
      <c r="S4" s="14"/>
      <c r="T4" s="14"/>
      <c r="U4" s="14"/>
      <c r="V4" s="14"/>
      <c r="W4" s="14"/>
      <c r="X4" s="14"/>
      <c r="Y4" s="14"/>
      <c r="Z4" s="14"/>
    </row>
    <row r="5">
      <c r="A5" s="16" t="s">
        <v>297</v>
      </c>
      <c r="B5" s="15">
        <f>SUMPRODUCT((Transactions!H2:H2000="Subscription")*(Transactions!P2:P2000="Active")*(Transactions!M2:M2000="INR")*(Transactions!K2:K2000&gt;=0)*(Transactions!K2:K2000&lt;=100)*(Transactions!T2:T2000))</f>
        <v>167924.7466</v>
      </c>
      <c r="C5" s="14"/>
      <c r="D5" s="17"/>
      <c r="E5" s="14"/>
      <c r="F5" s="14"/>
      <c r="G5" s="14"/>
      <c r="H5" s="14"/>
      <c r="I5" s="14"/>
      <c r="J5" s="14"/>
      <c r="K5" s="14"/>
      <c r="L5" s="14"/>
      <c r="M5" s="14"/>
      <c r="N5" s="14"/>
      <c r="O5" s="14"/>
      <c r="P5" s="14"/>
      <c r="Q5" s="14"/>
      <c r="R5" s="14"/>
      <c r="S5" s="14"/>
      <c r="T5" s="14"/>
      <c r="U5" s="14"/>
      <c r="V5" s="14"/>
      <c r="W5" s="14"/>
      <c r="X5" s="14"/>
      <c r="Y5" s="14"/>
      <c r="Z5" s="14"/>
    </row>
    <row r="6">
      <c r="A6" s="15" t="s">
        <v>298</v>
      </c>
      <c r="B6" s="15" t="str">
        <f t="array" ref="B6">INDEX('Monthly Trend'!A1:A1000,MATCH(MAX('Monthly Trend'!D1:D1000),'Monthly Trend'!D1:D1000,0))</f>
        <v>Dec-2024</v>
      </c>
      <c r="C6" s="14"/>
      <c r="D6" s="17"/>
      <c r="E6" s="14"/>
      <c r="F6" s="14"/>
      <c r="G6" s="14"/>
      <c r="H6" s="14"/>
      <c r="I6" s="14"/>
      <c r="J6" s="14"/>
      <c r="K6" s="14"/>
      <c r="L6" s="14"/>
      <c r="M6" s="14"/>
      <c r="N6" s="14"/>
      <c r="O6" s="14"/>
      <c r="P6" s="14"/>
      <c r="Q6" s="14"/>
      <c r="R6" s="14"/>
      <c r="S6" s="14"/>
      <c r="T6" s="14"/>
      <c r="U6" s="14"/>
      <c r="V6" s="14"/>
      <c r="W6" s="14"/>
      <c r="X6" s="14"/>
      <c r="Y6" s="14"/>
      <c r="Z6" s="14"/>
    </row>
    <row r="7">
      <c r="A7" s="16" t="s">
        <v>299</v>
      </c>
      <c r="B7" s="15">
        <f t="array" ref="B7">LET(c,UNIQUE(LOWER(TRIM(Transactions!C2:C2000))),SUM(--((COUNTIFS(Transactions!C2:C2000,c,Transactions!P2:P2000,"Active")&gt;0)*((COUNTIFS(Transactions!C2:C2000,c,Transactions!P2:P2000,"Cancelled")+COUNTIFS(Transactions!C2:C2000,c,Transactions!P2:P2000,"Churned"))&gt;0))))</f>
        <v>1</v>
      </c>
      <c r="C7" s="14"/>
      <c r="D7" s="14"/>
      <c r="E7" s="14"/>
      <c r="F7" s="14"/>
      <c r="G7" s="14"/>
      <c r="H7" s="14"/>
      <c r="I7" s="14"/>
      <c r="J7" s="14"/>
      <c r="K7" s="14"/>
      <c r="L7" s="14"/>
      <c r="M7" s="14"/>
      <c r="N7" s="14"/>
      <c r="O7" s="14"/>
      <c r="P7" s="14"/>
      <c r="Q7" s="14"/>
      <c r="R7" s="14"/>
      <c r="S7" s="14"/>
      <c r="T7" s="14"/>
      <c r="U7" s="14"/>
      <c r="V7" s="14"/>
      <c r="W7" s="14"/>
      <c r="X7" s="14"/>
      <c r="Y7" s="14"/>
      <c r="Z7" s="14"/>
    </row>
    <row r="8">
      <c r="A8" s="15"/>
      <c r="B8" s="16"/>
      <c r="C8" s="14"/>
      <c r="D8" s="14"/>
      <c r="E8" s="14"/>
      <c r="F8" s="14"/>
      <c r="G8" s="14"/>
      <c r="H8" s="14"/>
      <c r="I8" s="14"/>
      <c r="J8" s="14"/>
      <c r="K8" s="14"/>
      <c r="L8" s="14"/>
      <c r="M8" s="14"/>
      <c r="N8" s="14"/>
      <c r="O8" s="14"/>
      <c r="P8" s="14"/>
      <c r="Q8" s="14"/>
      <c r="R8" s="14"/>
      <c r="S8" s="14"/>
      <c r="T8" s="14"/>
      <c r="U8" s="14"/>
      <c r="V8" s="14"/>
      <c r="W8" s="14"/>
      <c r="X8" s="14"/>
      <c r="Y8" s="14"/>
      <c r="Z8" s="14"/>
    </row>
    <row r="9">
      <c r="A9" s="15"/>
      <c r="B9" s="16"/>
      <c r="C9" s="14"/>
      <c r="D9" s="14"/>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E1" s="19" t="s">
        <v>303</v>
      </c>
    </row>
    <row r="2">
      <c r="E2" s="18">
        <f t="shared" ref="E2:E6" si="1">C2/D2</f>
        <v>4.071171362</v>
      </c>
    </row>
    <row r="3">
      <c r="E3" s="18">
        <f t="shared" si="1"/>
        <v>3.774154589</v>
      </c>
    </row>
    <row r="4">
      <c r="E4" s="18">
        <f t="shared" si="1"/>
        <v>2.305229456</v>
      </c>
    </row>
    <row r="5">
      <c r="E5" s="18">
        <f t="shared" si="1"/>
        <v>4.098440546</v>
      </c>
    </row>
    <row r="6">
      <c r="E6" s="18">
        <f t="shared" si="1"/>
        <v>14.19454108</v>
      </c>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tr">
        <f>TEXT(IFERROR(DATEVALUE(Transactions!B2),Transactions!B2),"MMM-YYYY")</f>
        <v>Apr-2025</v>
      </c>
      <c r="B1" s="18">
        <f>SUMPRODUCT((Transactions!P2:P2000="Active")*(Transactions!M2:M2000="INR")*(TEXT(IFERROR(DATEVALUE(Transactions!B2:B2000),Transactions!B2:B2000),"MMM-YYYY")=A2)*(Transactions!T2:T2000))</f>
        <v>72642.69768</v>
      </c>
      <c r="C1" s="18">
        <f t="shared" ref="C1:C163" si="1">SUM($B$1:B1)</f>
        <v>72642.69768</v>
      </c>
      <c r="D1" s="18" t="str">
        <f>"N/A"</f>
        <v>N/A</v>
      </c>
    </row>
    <row r="2">
      <c r="A2" s="18" t="str">
        <f>TEXT(IFERROR(DATEVALUE(Transactions!B3),Transactions!B3),"MMM-YYYY")</f>
        <v>Sep-2024</v>
      </c>
      <c r="B2" s="18">
        <f>SUMPRODUCT((Transactions!P3:P2001="Active")*(Transactions!M3:M2001="INR")*(TEXT(IFERROR(DATEVALUE(Transactions!B3:B2001),Transactions!B3:B2001),"MMM-YYYY")=A3)*(Transactions!T3:T2001))</f>
        <v>22074.427</v>
      </c>
      <c r="C2" s="18">
        <f t="shared" si="1"/>
        <v>94717.12468</v>
      </c>
      <c r="D2" s="18">
        <f t="shared" ref="D2:D163" si="2">IF(B2=0,"N/A",(B3-B2)/B2*100)</f>
        <v>371.8055581</v>
      </c>
    </row>
    <row r="3">
      <c r="A3" s="18" t="str">
        <f>TEXT(IFERROR(DATEVALUE(Transactions!B4),Transactions!B4),"MMM-YYYY")</f>
        <v>Oct-2024</v>
      </c>
      <c r="B3" s="18">
        <f>SUMPRODUCT((Transactions!P4:P2002="Active")*(Transactions!M4:M2002="INR")*(TEXT(IFERROR(DATEVALUE(Transactions!B4:B2002),Transactions!B4:B2002),"MMM-YYYY")=A4)*(Transactions!T4:T2002))</f>
        <v>104148.3735</v>
      </c>
      <c r="C3" s="18">
        <f t="shared" si="1"/>
        <v>198865.4982</v>
      </c>
      <c r="D3" s="18">
        <f t="shared" si="2"/>
        <v>-59.04385182</v>
      </c>
    </row>
    <row r="4">
      <c r="A4" s="18" t="str">
        <f>TEXT(IFERROR(DATEVALUE(Transactions!B5),Transactions!B5),"MMM-YYYY")</f>
        <v>Aug-2024</v>
      </c>
      <c r="B4" s="18">
        <f>SUMPRODUCT((Transactions!P5:P2003="Active")*(Transactions!M5:M2003="INR")*(TEXT(IFERROR(DATEVALUE(Transactions!B5:B2003),Transactions!B5:B2003),"MMM-YYYY")=A5)*(Transactions!T5:T2003))</f>
        <v>42655.16218</v>
      </c>
      <c r="C4" s="18">
        <f t="shared" si="1"/>
        <v>241520.6604</v>
      </c>
      <c r="D4" s="18">
        <f t="shared" si="2"/>
        <v>50.54507056</v>
      </c>
    </row>
    <row r="5">
      <c r="A5" s="18" t="str">
        <f>TEXT(IFERROR(DATEVALUE(Transactions!B6),Transactions!B6),"MMM-YYYY")</f>
        <v>Apr-2025</v>
      </c>
      <c r="B5" s="18">
        <f>SUMPRODUCT((Transactions!P6:P2004="Active")*(Transactions!M6:M2004="INR")*(TEXT(IFERROR(DATEVALUE(Transactions!B6:B2004),Transactions!B6:B2004),"MMM-YYYY")=A6)*(Transactions!T6:T2004))</f>
        <v>64215.244</v>
      </c>
      <c r="C5" s="18">
        <f t="shared" si="1"/>
        <v>305735.9044</v>
      </c>
      <c r="D5" s="18">
        <f t="shared" si="2"/>
        <v>205.3855211</v>
      </c>
    </row>
    <row r="6">
      <c r="A6" s="18" t="str">
        <f>TEXT(IFERROR(DATEVALUE(Transactions!B7),Transactions!B7),"MMM-YYYY")</f>
        <v>Jul-2024</v>
      </c>
      <c r="B6" s="18">
        <f>SUMPRODUCT((Transactions!P7:P2005="Active")*(Transactions!M7:M2005="INR")*(TEXT(IFERROR(DATEVALUE(Transactions!B7:B2005),Transactions!B7:B2005),"MMM-YYYY")=A7)*(Transactions!T7:T2005))</f>
        <v>196104.0575</v>
      </c>
      <c r="C6" s="18">
        <f t="shared" si="1"/>
        <v>501839.9619</v>
      </c>
      <c r="D6" s="18">
        <f t="shared" si="2"/>
        <v>-65.12384876</v>
      </c>
    </row>
    <row r="7">
      <c r="A7" s="18" t="str">
        <f>TEXT(IFERROR(DATEVALUE(Transactions!B8),Transactions!B8),"MMM-YYYY")</f>
        <v>Nov-2024</v>
      </c>
      <c r="B7" s="18">
        <f>SUMPRODUCT((Transactions!P8:P2006="Active")*(Transactions!M8:M2006="INR")*(TEXT(IFERROR(DATEVALUE(Transactions!B8:B2006),Transactions!B8:B2006),"MMM-YYYY")=A8)*(Transactions!T8:T2006))</f>
        <v>68393.54768</v>
      </c>
      <c r="C7" s="18">
        <f t="shared" si="1"/>
        <v>570233.5095</v>
      </c>
      <c r="D7" s="18">
        <f t="shared" si="2"/>
        <v>35.88927268</v>
      </c>
    </row>
    <row r="8">
      <c r="A8" s="18" t="str">
        <f>TEXT(IFERROR(DATEVALUE(Transactions!B9),Transactions!B9),"MMM-YYYY")</f>
        <v>Sep-2024</v>
      </c>
      <c r="B8" s="18">
        <f>SUMPRODUCT((Transactions!P9:P2007="Active")*(Transactions!M9:M2007="INR")*(TEXT(IFERROR(DATEVALUE(Transactions!B9:B2007),Transactions!B9:B2007),"MMM-YYYY")=A9)*(Transactions!T9:T2007))</f>
        <v>92939.4945</v>
      </c>
      <c r="C8" s="18">
        <f t="shared" si="1"/>
        <v>663173.004</v>
      </c>
      <c r="D8" s="18">
        <f t="shared" si="2"/>
        <v>0</v>
      </c>
    </row>
    <row r="9">
      <c r="A9" s="18" t="str">
        <f>TEXT(IFERROR(DATEVALUE(Transactions!B10),Transactions!B10),"MMM-YYYY")</f>
        <v>Aug-2024</v>
      </c>
      <c r="B9" s="18">
        <f>SUMPRODUCT((Transactions!P10:P2008="Active")*(Transactions!M10:M2008="INR")*(TEXT(IFERROR(DATEVALUE(Transactions!B10:B2008),Transactions!B10:B2008),"MMM-YYYY")=A10)*(Transactions!T10:T2008))</f>
        <v>92939.4945</v>
      </c>
      <c r="C9" s="18">
        <f t="shared" si="1"/>
        <v>756112.4985</v>
      </c>
      <c r="D9" s="18">
        <f t="shared" si="2"/>
        <v>1.850783232</v>
      </c>
    </row>
    <row r="10">
      <c r="A10" s="18" t="str">
        <f>TEXT(IFERROR(DATEVALUE(Transactions!B11),Transactions!B11),"MMM-YYYY")</f>
        <v>Aug-2024</v>
      </c>
      <c r="B10" s="18">
        <f>SUMPRODUCT((Transactions!P11:P2009="Active")*(Transactions!M11:M2009="INR")*(TEXT(IFERROR(DATEVALUE(Transactions!B11:B2009),Transactions!B11:B2009),"MMM-YYYY")=A11)*(Transactions!T11:T2009))</f>
        <v>94659.60308</v>
      </c>
      <c r="C10" s="18">
        <f t="shared" si="1"/>
        <v>850772.1016</v>
      </c>
      <c r="D10" s="18">
        <f t="shared" si="2"/>
        <v>-61.04659982</v>
      </c>
    </row>
    <row r="11">
      <c r="A11" s="18" t="str">
        <f>TEXT(IFERROR(DATEVALUE(Transactions!B12),Transactions!B12),"MMM-YYYY")</f>
        <v>Jun-2025</v>
      </c>
      <c r="B11" s="18">
        <f>SUMPRODUCT((Transactions!P12:P2010="Active")*(Transactions!M12:M2010="INR")*(TEXT(IFERROR(DATEVALUE(Transactions!B12:B2010),Transactions!B12:B2010),"MMM-YYYY")=A12)*(Transactions!T12:T2010))</f>
        <v>36873.134</v>
      </c>
      <c r="C11" s="18">
        <f t="shared" si="1"/>
        <v>887645.2356</v>
      </c>
      <c r="D11" s="18">
        <f t="shared" si="2"/>
        <v>12.42863755</v>
      </c>
    </row>
    <row r="12">
      <c r="A12" s="18" t="str">
        <f>TEXT(IFERROR(DATEVALUE(Transactions!B13),Transactions!B13),"MMM-YYYY")</f>
        <v>May-2025</v>
      </c>
      <c r="B12" s="18">
        <f>SUMPRODUCT((Transactions!P13:P2011="Active")*(Transactions!M13:M2011="INR")*(TEXT(IFERROR(DATEVALUE(Transactions!B13:B2011),Transactions!B13:B2011),"MMM-YYYY")=A13)*(Transactions!T13:T2011))</f>
        <v>41455.96218</v>
      </c>
      <c r="C12" s="18">
        <f t="shared" si="1"/>
        <v>929101.1978</v>
      </c>
      <c r="D12" s="18">
        <f t="shared" si="2"/>
        <v>-73.45967523</v>
      </c>
    </row>
    <row r="13">
      <c r="A13" s="18" t="str">
        <f>TEXT(IFERROR(DATEVALUE(Transactions!B14),Transactions!B14),"MMM-YYYY")</f>
        <v>Apr-2025</v>
      </c>
      <c r="B13" s="18">
        <f>SUMPRODUCT((Transactions!P14:P2012="Active")*(Transactions!M14:M2012="INR")*(TEXT(IFERROR(DATEVALUE(Transactions!B14:B2012),Transactions!B14:B2012),"MMM-YYYY")=A14)*(Transactions!T14:T2012))</f>
        <v>11002.547</v>
      </c>
      <c r="C13" s="18">
        <f t="shared" si="1"/>
        <v>940103.7448</v>
      </c>
      <c r="D13" s="18">
        <f t="shared" si="2"/>
        <v>619.3612909</v>
      </c>
    </row>
    <row r="14">
      <c r="A14" s="18" t="str">
        <f>TEXT(IFERROR(DATEVALUE(Transactions!B15),Transactions!B15),"MMM-YYYY")</f>
        <v>Feb-2025</v>
      </c>
      <c r="B14" s="18">
        <f>SUMPRODUCT((Transactions!P15:P2013="Active")*(Transactions!M15:M2013="INR")*(TEXT(IFERROR(DATEVALUE(Transactions!B15:B2013),Transactions!B15:B2013),"MMM-YYYY")=A15)*(Transactions!T15:T2013))</f>
        <v>79148.06413</v>
      </c>
      <c r="C14" s="18">
        <f t="shared" si="1"/>
        <v>1019251.809</v>
      </c>
      <c r="D14" s="18">
        <f t="shared" si="2"/>
        <v>131.6606344</v>
      </c>
    </row>
    <row r="15">
      <c r="A15" s="18" t="str">
        <f>TEXT(IFERROR(DATEVALUE(Transactions!B16),Transactions!B16),"MMM-YYYY")</f>
        <v>Mar-2025</v>
      </c>
      <c r="B15" s="18">
        <f>SUMPRODUCT((Transactions!P16:P2014="Active")*(Transactions!M16:M2014="INR")*(TEXT(IFERROR(DATEVALUE(Transactions!B16:B2014),Transactions!B16:B2014),"MMM-YYYY")=A16)*(Transactions!T16:T2014))</f>
        <v>183354.9075</v>
      </c>
      <c r="C15" s="18">
        <f t="shared" si="1"/>
        <v>1202606.716</v>
      </c>
      <c r="D15" s="18">
        <f t="shared" si="2"/>
        <v>-94.76793306</v>
      </c>
    </row>
    <row r="16">
      <c r="A16" s="18" t="str">
        <f>TEXT(IFERROR(DATEVALUE(Transactions!B17),Transactions!B17),"MMM-YYYY")</f>
        <v>Nov-2024</v>
      </c>
      <c r="B16" s="18">
        <f>SUMPRODUCT((Transactions!P17:P2015="Active")*(Transactions!M17:M2015="INR")*(TEXT(IFERROR(DATEVALUE(Transactions!B17:B2015),Transactions!B17:B2015),"MMM-YYYY")=A17)*(Transactions!T17:T2015))</f>
        <v>9593.2515</v>
      </c>
      <c r="C16" s="18">
        <f t="shared" si="1"/>
        <v>1212199.968</v>
      </c>
      <c r="D16" s="18">
        <f t="shared" si="2"/>
        <v>456.8398074</v>
      </c>
    </row>
    <row r="17">
      <c r="A17" s="18" t="str">
        <f>TEXT(IFERROR(DATEVALUE(Transactions!B18),Transactions!B18),"MMM-YYYY")</f>
        <v>Dec-2024</v>
      </c>
      <c r="B17" s="18">
        <f>SUMPRODUCT((Transactions!P18:P2016="Active")*(Transactions!M18:M2016="INR")*(TEXT(IFERROR(DATEVALUE(Transactions!B18:B2016),Transactions!B18:B2016),"MMM-YYYY")=A18)*(Transactions!T18:T2016))</f>
        <v>53419.04318</v>
      </c>
      <c r="C17" s="18">
        <f t="shared" si="1"/>
        <v>1265619.011</v>
      </c>
      <c r="D17" s="18">
        <f t="shared" si="2"/>
        <v>94.14465577</v>
      </c>
    </row>
    <row r="18">
      <c r="A18" s="18" t="str">
        <f>TEXT(IFERROR(DATEVALUE(Transactions!B19),Transactions!B19),"MMM-YYYY")</f>
        <v>Sep-2024</v>
      </c>
      <c r="B18" s="18">
        <f>SUMPRODUCT((Transactions!P19:P2017="Active")*(Transactions!M19:M2017="INR")*(TEXT(IFERROR(DATEVALUE(Transactions!B19:B2017),Transactions!B19:B2017),"MMM-YYYY")=A19)*(Transactions!T19:T2017))</f>
        <v>103710.2175</v>
      </c>
      <c r="C18" s="18">
        <f t="shared" si="1"/>
        <v>1369329.229</v>
      </c>
      <c r="D18" s="18">
        <f t="shared" si="2"/>
        <v>-38.08204674</v>
      </c>
    </row>
    <row r="19">
      <c r="A19" s="18" t="str">
        <f>TEXT(IFERROR(DATEVALUE(Transactions!B20),Transactions!B20),"MMM-YYYY")</f>
        <v>Nov-2024</v>
      </c>
      <c r="B19" s="18">
        <f>SUMPRODUCT((Transactions!P20:P2018="Active")*(Transactions!M20:M2018="INR")*(TEXT(IFERROR(DATEVALUE(Transactions!B20:B2018),Transactions!B20:B2018),"MMM-YYYY")=A20)*(Transactions!T20:T2018))</f>
        <v>64215.244</v>
      </c>
      <c r="C19" s="18">
        <f t="shared" si="1"/>
        <v>1433544.473</v>
      </c>
      <c r="D19" s="18">
        <f t="shared" si="2"/>
        <v>35.87409011</v>
      </c>
    </row>
    <row r="20">
      <c r="A20" s="18" t="str">
        <f>TEXT(IFERROR(DATEVALUE(Transactions!B21),Transactions!B21),"MMM-YYYY")</f>
        <v>Jul-2024</v>
      </c>
      <c r="B20" s="18">
        <f>SUMPRODUCT((Transactions!P21:P2019="Active")*(Transactions!M21:M2019="INR")*(TEXT(IFERROR(DATEVALUE(Transactions!B21:B2019),Transactions!B21:B2019),"MMM-YYYY")=A21)*(Transactions!T21:T2019))</f>
        <v>87251.8785</v>
      </c>
      <c r="C20" s="18">
        <f t="shared" si="1"/>
        <v>1520796.351</v>
      </c>
      <c r="D20" s="18">
        <f t="shared" si="2"/>
        <v>0</v>
      </c>
    </row>
    <row r="21">
      <c r="A21" s="18" t="str">
        <f>TEXT(IFERROR(DATEVALUE(Transactions!B22),Transactions!B22),"MMM-YYYY")</f>
        <v>Jan-2025</v>
      </c>
      <c r="B21" s="18">
        <f>SUMPRODUCT((Transactions!P22:P2020="Active")*(Transactions!M22:M2020="INR")*(TEXT(IFERROR(DATEVALUE(Transactions!B22:B2020),Transactions!B22:B2020),"MMM-YYYY")=A22)*(Transactions!T22:T2020))</f>
        <v>87251.8785</v>
      </c>
      <c r="C21" s="18">
        <f t="shared" si="1"/>
        <v>1608048.23</v>
      </c>
      <c r="D21" s="18">
        <f t="shared" si="2"/>
        <v>-92.09856381</v>
      </c>
    </row>
    <row r="22">
      <c r="A22" s="18" t="str">
        <f>TEXT(IFERROR(DATEVALUE(Transactions!B23),Transactions!B23),"MMM-YYYY")</f>
        <v>Jan-2025</v>
      </c>
      <c r="B22" s="18">
        <f>SUMPRODUCT((Transactions!P23:P2021="Active")*(Transactions!M23:M2021="INR")*(TEXT(IFERROR(DATEVALUE(Transactions!B23:B2021),Transactions!B23:B2021),"MMM-YYYY")=A23)*(Transactions!T23:T2021))</f>
        <v>6894.1515</v>
      </c>
      <c r="C22" s="18">
        <f t="shared" si="1"/>
        <v>1614942.381</v>
      </c>
      <c r="D22" s="18">
        <f t="shared" si="2"/>
        <v>434.846587</v>
      </c>
    </row>
    <row r="23">
      <c r="A23" s="18" t="str">
        <f>TEXT(IFERROR(DATEVALUE(Transactions!B24),Transactions!B24),"MMM-YYYY")</f>
        <v>Dec-2024</v>
      </c>
      <c r="B23" s="18">
        <f>SUMPRODUCT((Transactions!P24:P2022="Active")*(Transactions!M24:M2022="INR")*(TEXT(IFERROR(DATEVALUE(Transactions!B24:B2022),Transactions!B24:B2022),"MMM-YYYY")=A24)*(Transactions!T24:T2022))</f>
        <v>36873.134</v>
      </c>
      <c r="C23" s="18">
        <f t="shared" si="1"/>
        <v>1651815.515</v>
      </c>
      <c r="D23" s="18">
        <f t="shared" si="2"/>
        <v>12.42863755</v>
      </c>
    </row>
    <row r="24">
      <c r="A24" s="18" t="str">
        <f>TEXT(IFERROR(DATEVALUE(Transactions!B25),Transactions!B25),"MMM-YYYY")</f>
        <v>May-2025</v>
      </c>
      <c r="B24" s="18">
        <f>SUMPRODUCT((Transactions!P25:P2023="Active")*(Transactions!M25:M2023="INR")*(TEXT(IFERROR(DATEVALUE(Transactions!B25:B2023),Transactions!B25:B2023),"MMM-YYYY")=A25)*(Transactions!T25:T2023))</f>
        <v>41455.96218</v>
      </c>
      <c r="C24" s="18">
        <f t="shared" si="1"/>
        <v>1693271.477</v>
      </c>
      <c r="D24" s="18">
        <f t="shared" si="2"/>
        <v>-14.89476026</v>
      </c>
    </row>
    <row r="25">
      <c r="A25" s="18" t="str">
        <f>TEXT(IFERROR(DATEVALUE(Transactions!B26),Transactions!B26),"MMM-YYYY")</f>
        <v>Apr-2025</v>
      </c>
      <c r="B25" s="18">
        <f>SUMPRODUCT((Transactions!P26:P2024="Active")*(Transactions!M26:M2024="INR")*(TEXT(IFERROR(DATEVALUE(Transactions!B26:B2024),Transactions!B26:B2024),"MMM-YYYY")=A26)*(Transactions!T26:T2024))</f>
        <v>35281.196</v>
      </c>
      <c r="C25" s="18">
        <f t="shared" si="1"/>
        <v>1728552.673</v>
      </c>
      <c r="D25" s="18">
        <f t="shared" si="2"/>
        <v>118.217341</v>
      </c>
    </row>
    <row r="26">
      <c r="A26" s="18" t="str">
        <f>TEXT(IFERROR(DATEVALUE(Transactions!B27),Transactions!B27),"MMM-YYYY")</f>
        <v>May-2025</v>
      </c>
      <c r="B26" s="18">
        <f>SUMPRODUCT((Transactions!P27:P2025="Active")*(Transactions!M27:M2025="INR")*(TEXT(IFERROR(DATEVALUE(Transactions!B27:B2025),Transactions!B27:B2025),"MMM-YYYY")=A27)*(Transactions!T27:T2025))</f>
        <v>76989.68777</v>
      </c>
      <c r="C26" s="18">
        <f t="shared" si="1"/>
        <v>1805542.361</v>
      </c>
      <c r="D26" s="18">
        <f t="shared" si="2"/>
        <v>-85.70906401</v>
      </c>
    </row>
    <row r="27">
      <c r="A27" s="18" t="str">
        <f>TEXT(IFERROR(DATEVALUE(Transactions!B28),Transactions!B28),"MMM-YYYY")</f>
        <v>Jun-2025</v>
      </c>
      <c r="B27" s="18">
        <f>SUMPRODUCT((Transactions!P28:P2026="Active")*(Transactions!M28:M2026="INR")*(TEXT(IFERROR(DATEVALUE(Transactions!B28:B2026),Transactions!B28:B2026),"MMM-YYYY")=A28)*(Transactions!T28:T2026))</f>
        <v>11002.547</v>
      </c>
      <c r="C27" s="18">
        <f t="shared" si="1"/>
        <v>1816544.908</v>
      </c>
      <c r="D27" s="18">
        <f t="shared" si="2"/>
        <v>220.6638972</v>
      </c>
    </row>
    <row r="28">
      <c r="A28" s="18" t="str">
        <f>TEXT(IFERROR(DATEVALUE(Transactions!B29),Transactions!B29),"MMM-YYYY")</f>
        <v>Feb-2025</v>
      </c>
      <c r="B28" s="18">
        <f>SUMPRODUCT((Transactions!P29:P2027="Active")*(Transactions!M29:M2027="INR")*(TEXT(IFERROR(DATEVALUE(Transactions!B29:B2027),Transactions!B29:B2027),"MMM-YYYY")=A29)*(Transactions!T29:T2027))</f>
        <v>35281.196</v>
      </c>
      <c r="C28" s="18">
        <f t="shared" si="1"/>
        <v>1851826.104</v>
      </c>
      <c r="D28" s="18">
        <f t="shared" si="2"/>
        <v>17.5015784</v>
      </c>
    </row>
    <row r="29">
      <c r="A29" s="18" t="str">
        <f>TEXT(IFERROR(DATEVALUE(Transactions!B30),Transactions!B30),"MMM-YYYY")</f>
        <v>May-2025</v>
      </c>
      <c r="B29" s="18">
        <f>SUMPRODUCT((Transactions!P30:P2028="Active")*(Transactions!M30:M2028="INR")*(TEXT(IFERROR(DATEVALUE(Transactions!B30:B2028),Transactions!B30:B2028),"MMM-YYYY")=A30)*(Transactions!T30:T2028))</f>
        <v>41455.96218</v>
      </c>
      <c r="C29" s="18">
        <f t="shared" si="1"/>
        <v>1893282.066</v>
      </c>
      <c r="D29" s="18">
        <f t="shared" si="2"/>
        <v>91.63815365</v>
      </c>
    </row>
    <row r="30">
      <c r="A30" s="18" t="str">
        <f>TEXT(IFERROR(DATEVALUE(Transactions!B31),Transactions!B31),"MMM-YYYY")</f>
        <v>Apr-2025</v>
      </c>
      <c r="B30" s="18">
        <f>SUMPRODUCT((Transactions!P31:P2029="Active")*(Transactions!M31:M2029="INR")*(TEXT(IFERROR(DATEVALUE(Transactions!B31:B2029),Transactions!B31:B2029),"MMM-YYYY")=A31)*(Transactions!T31:T2029))</f>
        <v>79445.4405</v>
      </c>
      <c r="C30" s="18">
        <f t="shared" si="1"/>
        <v>1972727.507</v>
      </c>
      <c r="D30" s="18">
        <f t="shared" si="2"/>
        <v>-85.15000996</v>
      </c>
    </row>
    <row r="31">
      <c r="A31" s="18" t="str">
        <f>TEXT(IFERROR(DATEVALUE(Transactions!B32),Transactions!B32),"MMM-YYYY")</f>
        <v>Jan-2025</v>
      </c>
      <c r="B31" s="18">
        <f>SUMPRODUCT((Transactions!P32:P2030="Active")*(Transactions!M32:M2030="INR")*(TEXT(IFERROR(DATEVALUE(Transactions!B32:B2030),Transactions!B32:B2030),"MMM-YYYY")=A32)*(Transactions!T32:T2030))</f>
        <v>11797.64</v>
      </c>
      <c r="C31" s="18">
        <f t="shared" si="1"/>
        <v>1984525.147</v>
      </c>
      <c r="D31" s="18">
        <f t="shared" si="2"/>
        <v>757.4686759</v>
      </c>
    </row>
    <row r="32">
      <c r="A32" s="18" t="str">
        <f>TEXT(IFERROR(DATEVALUE(Transactions!B33),Transactions!B33),"MMM-YYYY")</f>
        <v>31-03-2025</v>
      </c>
      <c r="B32" s="18">
        <f>SUMPRODUCT((Transactions!P33:P2031="Active")*(Transactions!M33:M2031="INR")*(TEXT(IFERROR(DATEVALUE(Transactions!B33:B2031),Transactions!B33:B2031),"MMM-YYYY")=A33)*(Transactions!T33:T2031))</f>
        <v>101161.0675</v>
      </c>
      <c r="C32" s="18">
        <f t="shared" si="1"/>
        <v>2085686.214</v>
      </c>
      <c r="D32" s="18">
        <f t="shared" si="2"/>
        <v>-89.12373379</v>
      </c>
    </row>
    <row r="33">
      <c r="A33" s="18" t="str">
        <f>TEXT(IFERROR(DATEVALUE(Transactions!B34),Transactions!B34),"MMM-YYYY")</f>
        <v>Nov-2024</v>
      </c>
      <c r="B33" s="18">
        <f>SUMPRODUCT((Transactions!P34:P2032="Active")*(Transactions!M34:M2032="INR")*(TEXT(IFERROR(DATEVALUE(Transactions!B34:B2032),Transactions!B34:B2032),"MMM-YYYY")=A34)*(Transactions!T34:T2032))</f>
        <v>11002.547</v>
      </c>
      <c r="C33" s="18">
        <f t="shared" si="1"/>
        <v>2096688.761</v>
      </c>
      <c r="D33" s="18">
        <f t="shared" si="2"/>
        <v>622.0640866</v>
      </c>
    </row>
    <row r="34">
      <c r="A34" s="18" t="str">
        <f>TEXT(IFERROR(DATEVALUE(Transactions!B35),Transactions!B35),"MMM-YYYY")</f>
        <v>Feb-2025</v>
      </c>
      <c r="B34" s="18">
        <f>SUMPRODUCT((Transactions!P35:P2033="Active")*(Transactions!M35:M2033="INR")*(TEXT(IFERROR(DATEVALUE(Transactions!B35:B2033),Transactions!B35:B2033),"MMM-YYYY")=A35)*(Transactions!T35:T2033))</f>
        <v>79445.4405</v>
      </c>
      <c r="C34" s="18">
        <f t="shared" si="1"/>
        <v>2176134.202</v>
      </c>
      <c r="D34" s="18">
        <f t="shared" si="2"/>
        <v>-19.17063636</v>
      </c>
    </row>
    <row r="35">
      <c r="A35" s="18" t="str">
        <f>TEXT(IFERROR(DATEVALUE(Transactions!B36),Transactions!B36),"MMM-YYYY")</f>
        <v>Jan-2025</v>
      </c>
      <c r="B35" s="18">
        <f>SUMPRODUCT((Transactions!P36:P2034="Active")*(Transactions!M36:M2034="INR")*(TEXT(IFERROR(DATEVALUE(Transactions!B36:B2034),Transactions!B36:B2034),"MMM-YYYY")=A36)*(Transactions!T36:T2034))</f>
        <v>64215.244</v>
      </c>
      <c r="C35" s="18">
        <f t="shared" si="1"/>
        <v>2240349.446</v>
      </c>
      <c r="D35" s="18">
        <f t="shared" si="2"/>
        <v>42.4003668</v>
      </c>
    </row>
    <row r="36">
      <c r="A36" s="18" t="str">
        <f>TEXT(IFERROR(DATEVALUE(Transactions!B37),Transactions!B37),"MMM-YYYY")</f>
        <v>Jul-2024</v>
      </c>
      <c r="B36" s="18">
        <f>SUMPRODUCT((Transactions!P37:P2035="Active")*(Transactions!M37:M2035="INR")*(TEXT(IFERROR(DATEVALUE(Transactions!B37:B2035),Transactions!B37:B2035),"MMM-YYYY")=A37)*(Transactions!T37:T2035))</f>
        <v>91442.743</v>
      </c>
      <c r="C36" s="18">
        <f t="shared" si="1"/>
        <v>2331792.189</v>
      </c>
      <c r="D36" s="18">
        <f t="shared" si="2"/>
        <v>-31.3880624</v>
      </c>
    </row>
    <row r="37">
      <c r="A37" s="18" t="str">
        <f>TEXT(IFERROR(DATEVALUE(Transactions!B38),Transactions!B38),"MMM-YYYY")</f>
        <v>Aug-2024</v>
      </c>
      <c r="B37" s="18">
        <f>SUMPRODUCT((Transactions!P38:P2036="Active")*(Transactions!M38:M2036="INR")*(TEXT(IFERROR(DATEVALUE(Transactions!B38:B2036),Transactions!B38:B2036),"MMM-YYYY")=A38)*(Transactions!T38:T2036))</f>
        <v>62740.63777</v>
      </c>
      <c r="C37" s="18">
        <f t="shared" si="1"/>
        <v>2394532.827</v>
      </c>
      <c r="D37" s="18">
        <f t="shared" si="2"/>
        <v>0</v>
      </c>
    </row>
    <row r="38">
      <c r="A38" s="18" t="str">
        <f>TEXT(IFERROR(DATEVALUE(Transactions!B39),Transactions!B39),"MMM-YYYY")</f>
        <v>Jun-2025</v>
      </c>
      <c r="B38" s="18">
        <f>SUMPRODUCT((Transactions!P39:P2037="Active")*(Transactions!M39:M2037="INR")*(TEXT(IFERROR(DATEVALUE(Transactions!B39:B2037),Transactions!B39:B2037),"MMM-YYYY")=A39)*(Transactions!T39:T2037))</f>
        <v>62740.63777</v>
      </c>
      <c r="C38" s="18">
        <f t="shared" si="1"/>
        <v>2457273.464</v>
      </c>
      <c r="D38" s="18">
        <f t="shared" si="2"/>
        <v>-54.24526559</v>
      </c>
    </row>
    <row r="39">
      <c r="A39" s="18" t="str">
        <f>TEXT(IFERROR(DATEVALUE(Transactions!B40),Transactions!B40),"MMM-YYYY")</f>
        <v>Jun-2025</v>
      </c>
      <c r="B39" s="18">
        <f>SUMPRODUCT((Transactions!P40:P2038="Active")*(Transactions!M40:M2038="INR")*(TEXT(IFERROR(DATEVALUE(Transactions!B40:B2038),Transactions!B40:B2038),"MMM-YYYY")=A40)*(Transactions!T40:T2038))</f>
        <v>28706.81218</v>
      </c>
      <c r="C39" s="18">
        <f t="shared" si="1"/>
        <v>2485980.276</v>
      </c>
      <c r="D39" s="18">
        <f t="shared" si="2"/>
        <v>82.38913068</v>
      </c>
    </row>
    <row r="40">
      <c r="A40" s="18" t="str">
        <f>TEXT(IFERROR(DATEVALUE(Transactions!B41),Transactions!B41),"MMM-YYYY")</f>
        <v>Apr-2025</v>
      </c>
      <c r="B40" s="18">
        <f>SUMPRODUCT((Transactions!P41:P2039="Active")*(Transactions!M41:M2039="INR")*(TEXT(IFERROR(DATEVALUE(Transactions!B41:B2039),Transactions!B41:B2039),"MMM-YYYY")=A41)*(Transactions!T41:T2039))</f>
        <v>52358.10518</v>
      </c>
      <c r="C40" s="18">
        <f t="shared" si="1"/>
        <v>2538338.382</v>
      </c>
      <c r="D40" s="18">
        <f t="shared" si="2"/>
        <v>51.1667847</v>
      </c>
    </row>
    <row r="41">
      <c r="A41" s="18" t="str">
        <f>TEXT(IFERROR(DATEVALUE(Transactions!B42),Transactions!B42),"MMM-YYYY")</f>
        <v>Sep-2024</v>
      </c>
      <c r="B41" s="18">
        <f>SUMPRODUCT((Transactions!P42:P2040="Active")*(Transactions!M42:M2040="INR")*(TEXT(IFERROR(DATEVALUE(Transactions!B42:B2040),Transactions!B42:B2040),"MMM-YYYY")=A42)*(Transactions!T42:T2040))</f>
        <v>79148.06413</v>
      </c>
      <c r="C41" s="18">
        <f t="shared" si="1"/>
        <v>2617486.446</v>
      </c>
      <c r="D41" s="18">
        <f t="shared" si="2"/>
        <v>-72.10995968</v>
      </c>
    </row>
    <row r="42">
      <c r="A42" s="18" t="str">
        <f>TEXT(IFERROR(DATEVALUE(Transactions!B43),Transactions!B43),"MMM-YYYY")</f>
        <v>Mar-2025</v>
      </c>
      <c r="B42" s="18">
        <f>SUMPRODUCT((Transactions!P43:P2041="Active")*(Transactions!M43:M2041="INR")*(TEXT(IFERROR(DATEVALUE(Transactions!B43:B2041),Transactions!B43:B2041),"MMM-YYYY")=A43)*(Transactions!T43:T2041))</f>
        <v>22074.427</v>
      </c>
      <c r="C42" s="18">
        <f t="shared" si="1"/>
        <v>2639560.873</v>
      </c>
      <c r="D42" s="18">
        <f t="shared" si="2"/>
        <v>303.3823528</v>
      </c>
    </row>
    <row r="43">
      <c r="A43" s="18" t="str">
        <f>TEXT(IFERROR(DATEVALUE(Transactions!B44),Transactions!B44),"MMM-YYYY")</f>
        <v>Oct-2024</v>
      </c>
      <c r="B43" s="18">
        <f>SUMPRODUCT((Transactions!P44:P2042="Active")*(Transactions!M44:M2042="INR")*(TEXT(IFERROR(DATEVALUE(Transactions!B44:B2042),Transactions!B44:B2042),"MMM-YYYY")=A44)*(Transactions!T44:T2042))</f>
        <v>89044.343</v>
      </c>
      <c r="C43" s="18">
        <f t="shared" si="1"/>
        <v>2728605.216</v>
      </c>
      <c r="D43" s="18">
        <f t="shared" si="2"/>
        <v>10.2406556</v>
      </c>
    </row>
    <row r="44">
      <c r="A44" s="18" t="str">
        <f>TEXT(IFERROR(DATEVALUE(Transactions!B45),Transactions!B45),"MMM-YYYY")</f>
        <v>Aug-2024</v>
      </c>
      <c r="B44" s="18">
        <f>SUMPRODUCT((Transactions!P45:P2043="Active")*(Transactions!M45:M2043="INR")*(TEXT(IFERROR(DATEVALUE(Transactions!B45:B2043),Transactions!B45:B2043),"MMM-YYYY")=A45)*(Transactions!T45:T2043))</f>
        <v>98163.0675</v>
      </c>
      <c r="C44" s="18">
        <f t="shared" si="1"/>
        <v>2826768.283</v>
      </c>
      <c r="D44" s="18">
        <f t="shared" si="2"/>
        <v>0</v>
      </c>
    </row>
    <row r="45">
      <c r="A45" s="18" t="str">
        <f>TEXT(IFERROR(DATEVALUE(Transactions!B46),Transactions!B46),"MMM-YYYY")</f>
        <v>Nov-2024</v>
      </c>
      <c r="B45" s="18">
        <f>SUMPRODUCT((Transactions!P46:P2044="Active")*(Transactions!M46:M2044="INR")*(TEXT(IFERROR(DATEVALUE(Transactions!B46:B2044),Transactions!B46:B2044),"MMM-YYYY")=A46)*(Transactions!T46:T2044))</f>
        <v>98163.0675</v>
      </c>
      <c r="C45" s="18">
        <f t="shared" si="1"/>
        <v>2924931.351</v>
      </c>
      <c r="D45" s="18">
        <f t="shared" si="2"/>
        <v>-96.03195825</v>
      </c>
    </row>
    <row r="46">
      <c r="A46" s="18" t="str">
        <f>TEXT(IFERROR(DATEVALUE(Transactions!B47),Transactions!B47),"MMM-YYYY")</f>
        <v>Nov-2024</v>
      </c>
      <c r="B46" s="18">
        <f>SUMPRODUCT((Transactions!P47:P2045="Active")*(Transactions!M47:M2045="INR")*(TEXT(IFERROR(DATEVALUE(Transactions!B47:B2045),Transactions!B47:B2045),"MMM-YYYY")=A47)*(Transactions!T47:T2045))</f>
        <v>3895.1515</v>
      </c>
      <c r="C46" s="18">
        <f t="shared" si="1"/>
        <v>2928826.502</v>
      </c>
      <c r="D46" s="18">
        <f t="shared" si="2"/>
        <v>2160.421488</v>
      </c>
    </row>
    <row r="47">
      <c r="A47" s="18" t="str">
        <f>TEXT(IFERROR(DATEVALUE(Transactions!B48),Transactions!B48),"MMM-YYYY")</f>
        <v>Dec-2024</v>
      </c>
      <c r="B47" s="18">
        <f>SUMPRODUCT((Transactions!P48:P2046="Active")*(Transactions!M48:M2046="INR")*(TEXT(IFERROR(DATEVALUE(Transactions!B48:B2046),Transactions!B48:B2046),"MMM-YYYY")=A48)*(Transactions!T48:T2046))</f>
        <v>88046.8415</v>
      </c>
      <c r="C47" s="18">
        <f t="shared" si="1"/>
        <v>3016873.344</v>
      </c>
      <c r="D47" s="18">
        <f t="shared" si="2"/>
        <v>-9.769119316</v>
      </c>
    </row>
    <row r="48">
      <c r="A48" s="18" t="str">
        <f>TEXT(IFERROR(DATEVALUE(Transactions!B49),Transactions!B49),"MMM-YYYY")</f>
        <v>Aug-2024</v>
      </c>
      <c r="B48" s="18">
        <f>SUMPRODUCT((Transactions!P49:P2047="Active")*(Transactions!M49:M2047="INR")*(TEXT(IFERROR(DATEVALUE(Transactions!B49:B2047),Transactions!B49:B2047),"MMM-YYYY")=A49)*(Transactions!T49:T2047))</f>
        <v>79445.4405</v>
      </c>
      <c r="C48" s="18">
        <f t="shared" si="1"/>
        <v>3096318.784</v>
      </c>
      <c r="D48" s="18">
        <f t="shared" si="2"/>
        <v>-98.10751002</v>
      </c>
    </row>
    <row r="49">
      <c r="A49" s="18" t="str">
        <f>TEXT(IFERROR(DATEVALUE(Transactions!B50),Transactions!B50),"MMM-YYYY")</f>
        <v>Jan-2025</v>
      </c>
      <c r="B49" s="18">
        <f>SUMPRODUCT((Transactions!P50:P2048="Active")*(Transactions!M50:M2048="INR")*(TEXT(IFERROR(DATEVALUE(Transactions!B50:B2048),Transactions!B50:B2048),"MMM-YYYY")=A50)*(Transactions!T50:T2048))</f>
        <v>1503.497</v>
      </c>
      <c r="C49" s="18">
        <f t="shared" si="1"/>
        <v>3097822.281</v>
      </c>
      <c r="D49" s="18">
        <f t="shared" si="2"/>
        <v>3304.094854</v>
      </c>
    </row>
    <row r="50">
      <c r="A50" s="18" t="str">
        <f>TEXT(IFERROR(DATEVALUE(Transactions!B51),Transactions!B51),"MMM-YYYY")</f>
        <v>Feb-2025</v>
      </c>
      <c r="B50" s="18">
        <f>SUMPRODUCT((Transactions!P51:P2049="Active")*(Transactions!M51:M2049="INR")*(TEXT(IFERROR(DATEVALUE(Transactions!B51:B2049),Transactions!B51:B2049),"MMM-YYYY")=A51)*(Transactions!T51:T2049))</f>
        <v>51180.464</v>
      </c>
      <c r="C50" s="18">
        <f t="shared" si="1"/>
        <v>3149002.745</v>
      </c>
      <c r="D50" s="18">
        <f t="shared" si="2"/>
        <v>55.22610444</v>
      </c>
    </row>
    <row r="51">
      <c r="A51" s="18" t="str">
        <f>TEXT(IFERROR(DATEVALUE(Transactions!B52),Transactions!B52),"MMM-YYYY")</f>
        <v>Sep-2024</v>
      </c>
      <c r="B51" s="18">
        <f>SUMPRODUCT((Transactions!P52:P2050="Active")*(Transactions!M52:M2050="INR")*(TEXT(IFERROR(DATEVALUE(Transactions!B52:B2050),Transactions!B52:B2050),"MMM-YYYY")=A52)*(Transactions!T52:T2050))</f>
        <v>79445.4405</v>
      </c>
      <c r="C51" s="18">
        <f t="shared" si="1"/>
        <v>3228448.186</v>
      </c>
      <c r="D51" s="18">
        <f t="shared" si="2"/>
        <v>-98.10751002</v>
      </c>
    </row>
    <row r="52">
      <c r="A52" s="18" t="str">
        <f>TEXT(IFERROR(DATEVALUE(Transactions!B53),Transactions!B53),"MMM-YYYY")</f>
        <v>Jan-2025</v>
      </c>
      <c r="B52" s="18">
        <f>SUMPRODUCT((Transactions!P53:P2051="Active")*(Transactions!M53:M2051="INR")*(TEXT(IFERROR(DATEVALUE(Transactions!B53:B2051),Transactions!B53:B2051),"MMM-YYYY")=A53)*(Transactions!T53:T2051))</f>
        <v>1503.497</v>
      </c>
      <c r="C52" s="18">
        <f t="shared" si="1"/>
        <v>3229951.683</v>
      </c>
      <c r="D52" s="18">
        <f t="shared" si="2"/>
        <v>59.52143569</v>
      </c>
    </row>
    <row r="53">
      <c r="A53" s="18" t="str">
        <f>TEXT(IFERROR(DATEVALUE(Transactions!B54),Transactions!B54),"MMM-YYYY")</f>
        <v>Feb-2025</v>
      </c>
      <c r="B53" s="18">
        <f>SUMPRODUCT((Transactions!P54:P2052="Active")*(Transactions!M54:M2052="INR")*(TEXT(IFERROR(DATEVALUE(Transactions!B54:B2052),Transactions!B54:B2052),"MMM-YYYY")=A54)*(Transactions!T54:T2052))</f>
        <v>2398.4</v>
      </c>
      <c r="C53" s="18">
        <f t="shared" si="1"/>
        <v>3232350.083</v>
      </c>
      <c r="D53" s="18">
        <f t="shared" si="2"/>
        <v>2474.590581</v>
      </c>
    </row>
    <row r="54">
      <c r="A54" s="18" t="str">
        <f>TEXT(IFERROR(DATEVALUE(Transactions!B55),Transactions!B55),"MMM-YYYY")</f>
        <v>Dec-2024</v>
      </c>
      <c r="B54" s="18">
        <f>SUMPRODUCT((Transactions!P55:P2053="Active")*(Transactions!M55:M2053="INR")*(TEXT(IFERROR(DATEVALUE(Transactions!B55:B2053),Transactions!B55:B2053),"MMM-YYYY")=A55)*(Transactions!T55:T2053))</f>
        <v>61748.9805</v>
      </c>
      <c r="C54" s="18">
        <f t="shared" si="1"/>
        <v>3294099.063</v>
      </c>
      <c r="D54" s="18">
        <f t="shared" si="2"/>
        <v>3.99401493</v>
      </c>
    </row>
    <row r="55">
      <c r="A55" s="18" t="str">
        <f>TEXT(IFERROR(DATEVALUE(Transactions!B56),Transactions!B56),"MMM-YYYY")</f>
        <v>Jan-2025</v>
      </c>
      <c r="B55" s="18">
        <f>SUMPRODUCT((Transactions!P56:P2054="Active")*(Transactions!M56:M2054="INR")*(TEXT(IFERROR(DATEVALUE(Transactions!B56:B2054),Transactions!B56:B2054),"MMM-YYYY")=A56)*(Transactions!T56:T2054))</f>
        <v>64215.244</v>
      </c>
      <c r="C55" s="18">
        <f t="shared" si="1"/>
        <v>3358314.307</v>
      </c>
      <c r="D55" s="18">
        <f t="shared" si="2"/>
        <v>-67.61512422</v>
      </c>
    </row>
    <row r="56">
      <c r="A56" s="18" t="str">
        <f>TEXT(IFERROR(DATEVALUE(Transactions!B57),Transactions!B57),"MMM-YYYY")</f>
        <v>Jul-2024</v>
      </c>
      <c r="B56" s="18">
        <f>SUMPRODUCT((Transactions!P57:P2055="Active")*(Transactions!M57:M2055="INR")*(TEXT(IFERROR(DATEVALUE(Transactions!B57:B2055),Transactions!B57:B2055),"MMM-YYYY")=A57)*(Transactions!T57:T2055))</f>
        <v>20796.027</v>
      </c>
      <c r="C56" s="18">
        <f t="shared" si="1"/>
        <v>3379110.334</v>
      </c>
      <c r="D56" s="18">
        <f t="shared" si="2"/>
        <v>196.9268144</v>
      </c>
    </row>
    <row r="57">
      <c r="A57" s="18" t="str">
        <f>TEXT(IFERROR(DATEVALUE(Transactions!B58),Transactions!B58),"MMM-YYYY")</f>
        <v>Oct-2024</v>
      </c>
      <c r="B57" s="18">
        <f>SUMPRODUCT((Transactions!P58:P2056="Active")*(Transactions!M58:M2056="INR")*(TEXT(IFERROR(DATEVALUE(Transactions!B58:B2056),Transactions!B58:B2056),"MMM-YYYY")=A58)*(Transactions!T58:T2056))</f>
        <v>61748.9805</v>
      </c>
      <c r="C57" s="18">
        <f t="shared" si="1"/>
        <v>3440859.315</v>
      </c>
      <c r="D57" s="18">
        <f t="shared" si="2"/>
        <v>-66.32166745</v>
      </c>
    </row>
    <row r="58">
      <c r="A58" s="18" t="str">
        <f>TEXT(IFERROR(DATEVALUE(Transactions!B59),Transactions!B59),"MMM-YYYY")</f>
        <v>Jan-2025</v>
      </c>
      <c r="B58" s="18">
        <f>SUMPRODUCT((Transactions!P59:P2057="Active")*(Transactions!M59:M2057="INR")*(TEXT(IFERROR(DATEVALUE(Transactions!B59:B2057),Transactions!B59:B2057),"MMM-YYYY")=A59)*(Transactions!T59:T2057))</f>
        <v>20796.027</v>
      </c>
      <c r="C58" s="18">
        <f t="shared" si="1"/>
        <v>3461655.342</v>
      </c>
      <c r="D58" s="18">
        <f t="shared" si="2"/>
        <v>-95.20340352</v>
      </c>
    </row>
    <row r="59">
      <c r="A59" s="18" t="str">
        <f>TEXT(IFERROR(DATEVALUE(Transactions!B60),Transactions!B60),"MMM-YYYY")</f>
        <v>Oct-2024</v>
      </c>
      <c r="B59" s="18">
        <f>SUMPRODUCT((Transactions!P60:P2058="Active")*(Transactions!M60:M2058="INR")*(TEXT(IFERROR(DATEVALUE(Transactions!B60:B2058),Transactions!B60:B2058),"MMM-YYYY")=A60)*(Transactions!T60:T2058))</f>
        <v>997.5015</v>
      </c>
      <c r="C59" s="18">
        <f t="shared" si="1"/>
        <v>3462652.843</v>
      </c>
      <c r="D59" s="18">
        <f t="shared" si="2"/>
        <v>1984.811602</v>
      </c>
    </row>
    <row r="60">
      <c r="A60" s="18" t="str">
        <f>TEXT(IFERROR(DATEVALUE(Transactions!B61),Transactions!B61),"MMM-YYYY")</f>
        <v>Nov-2024</v>
      </c>
      <c r="B60" s="18">
        <f>SUMPRODUCT((Transactions!P61:P2059="Active")*(Transactions!M61:M2059="INR")*(TEXT(IFERROR(DATEVALUE(Transactions!B61:B2059),Transactions!B61:B2059),"MMM-YYYY")=A61)*(Transactions!T61:T2059))</f>
        <v>20796.027</v>
      </c>
      <c r="C60" s="18">
        <f t="shared" si="1"/>
        <v>3483448.87</v>
      </c>
      <c r="D60" s="18">
        <f t="shared" si="2"/>
        <v>323.3829928</v>
      </c>
    </row>
    <row r="61">
      <c r="A61" s="18" t="str">
        <f>TEXT(IFERROR(DATEVALUE(Transactions!B62),Transactions!B62),"MMM-YYYY")</f>
        <v>Oct-2024</v>
      </c>
      <c r="B61" s="18">
        <f>SUMPRODUCT((Transactions!P62:P2060="Active")*(Transactions!M62:M2060="INR")*(TEXT(IFERROR(DATEVALUE(Transactions!B62:B2060),Transactions!B62:B2060),"MMM-YYYY")=A62)*(Transactions!T62:T2060))</f>
        <v>88046.8415</v>
      </c>
      <c r="C61" s="18">
        <f t="shared" si="1"/>
        <v>3571495.712</v>
      </c>
      <c r="D61" s="18">
        <f t="shared" si="2"/>
        <v>-11.8093701</v>
      </c>
    </row>
    <row r="62">
      <c r="A62" s="18" t="str">
        <f>TEXT(IFERROR(DATEVALUE(Transactions!B63),Transactions!B63),"MMM-YYYY")</f>
        <v>Aug-2024</v>
      </c>
      <c r="B62" s="18">
        <f>SUMPRODUCT((Transactions!P63:P2061="Active")*(Transactions!M63:M2061="INR")*(TEXT(IFERROR(DATEVALUE(Transactions!B63:B2061),Transactions!B63:B2061),"MMM-YYYY")=A63)*(Transactions!T63:T2061))</f>
        <v>77649.06413</v>
      </c>
      <c r="C62" s="18">
        <f t="shared" si="1"/>
        <v>3649144.776</v>
      </c>
      <c r="D62" s="18">
        <f t="shared" si="2"/>
        <v>-98.06372811</v>
      </c>
    </row>
    <row r="63">
      <c r="A63" s="18" t="str">
        <f>TEXT(IFERROR(DATEVALUE(Transactions!B64),Transactions!B64),"MMM-YYYY")</f>
        <v>Mar-2025</v>
      </c>
      <c r="B63" s="18">
        <f>SUMPRODUCT((Transactions!P64:P2062="Active")*(Transactions!M64:M2062="INR")*(TEXT(IFERROR(DATEVALUE(Transactions!B64:B2062),Transactions!B64:B2062),"MMM-YYYY")=A64)*(Transactions!T64:T2062))</f>
        <v>1503.497</v>
      </c>
      <c r="C63" s="18">
        <f t="shared" si="1"/>
        <v>3650648.273</v>
      </c>
      <c r="D63" s="18">
        <f t="shared" si="2"/>
        <v>3959.223663</v>
      </c>
    </row>
    <row r="64">
      <c r="A64" s="18" t="str">
        <f>TEXT(IFERROR(DATEVALUE(Transactions!B65),Transactions!B65),"MMM-YYYY")</f>
        <v>Feb-2025</v>
      </c>
      <c r="B64" s="18">
        <f>SUMPRODUCT((Transactions!P65:P2063="Active")*(Transactions!M65:M2063="INR")*(TEXT(IFERROR(DATEVALUE(Transactions!B65:B2063),Transactions!B65:B2063),"MMM-YYYY")=A65)*(Transactions!T65:T2063))</f>
        <v>61030.306</v>
      </c>
      <c r="C64" s="18">
        <f t="shared" si="1"/>
        <v>3711678.579</v>
      </c>
      <c r="D64" s="18">
        <f t="shared" si="2"/>
        <v>-52.99881996</v>
      </c>
    </row>
    <row r="65">
      <c r="A65" s="18" t="str">
        <f>TEXT(IFERROR(DATEVALUE(Transactions!B66),Transactions!B66),"MMM-YYYY")</f>
        <v>Jul-2024</v>
      </c>
      <c r="B65" s="18">
        <f>SUMPRODUCT((Transactions!P66:P2064="Active")*(Transactions!M66:M2064="INR")*(TEXT(IFERROR(DATEVALUE(Transactions!B66:B2064),Transactions!B66:B2064),"MMM-YYYY")=A66)*(Transactions!T66:T2064))</f>
        <v>28684.964</v>
      </c>
      <c r="C65" s="18">
        <f t="shared" si="1"/>
        <v>3740363.543</v>
      </c>
      <c r="D65" s="18">
        <f t="shared" si="2"/>
        <v>206.9442287</v>
      </c>
    </row>
    <row r="66">
      <c r="A66" s="18" t="str">
        <f>TEXT(IFERROR(DATEVALUE(Transactions!B67),Transactions!B67),"MMM-YYYY")</f>
        <v>Sep-2024</v>
      </c>
      <c r="B66" s="18">
        <f>SUMPRODUCT((Transactions!P67:P2065="Active")*(Transactions!M67:M2065="INR")*(TEXT(IFERROR(DATEVALUE(Transactions!B67:B2065),Transactions!B67:B2065),"MMM-YYYY")=A67)*(Transactions!T67:T2065))</f>
        <v>88046.8415</v>
      </c>
      <c r="C66" s="18">
        <f t="shared" si="1"/>
        <v>3828410.384</v>
      </c>
      <c r="D66" s="18">
        <f t="shared" si="2"/>
        <v>-29.86803451</v>
      </c>
    </row>
    <row r="67">
      <c r="A67" s="18" t="str">
        <f>TEXT(IFERROR(DATEVALUE(Transactions!B68),Transactions!B68),"MMM-YYYY")</f>
        <v>Aug-2024</v>
      </c>
      <c r="B67" s="18">
        <f>SUMPRODUCT((Transactions!P68:P2066="Active")*(Transactions!M68:M2066="INR")*(TEXT(IFERROR(DATEVALUE(Transactions!B68:B2066),Transactions!B68:B2066),"MMM-YYYY")=A68)*(Transactions!T68:T2066))</f>
        <v>61748.9805</v>
      </c>
      <c r="C67" s="18">
        <f t="shared" si="1"/>
        <v>3890159.365</v>
      </c>
      <c r="D67" s="18">
        <f t="shared" si="2"/>
        <v>-36.60566142</v>
      </c>
    </row>
    <row r="68">
      <c r="A68" s="18" t="str">
        <f>TEXT(IFERROR(DATEVALUE(Transactions!B69),Transactions!B69),"MMM-YYYY")</f>
        <v>Jan-2025</v>
      </c>
      <c r="B68" s="18">
        <f>SUMPRODUCT((Transactions!P69:P2067="Active")*(Transactions!M69:M2067="INR")*(TEXT(IFERROR(DATEVALUE(Transactions!B69:B2067),Transactions!B69:B2067),"MMM-YYYY")=A69)*(Transactions!T69:T2067))</f>
        <v>39145.35777</v>
      </c>
      <c r="C68" s="18">
        <f t="shared" si="1"/>
        <v>3929304.723</v>
      </c>
      <c r="D68" s="18">
        <f t="shared" si="2"/>
        <v>-65.03298276</v>
      </c>
    </row>
    <row r="69">
      <c r="A69" s="18" t="str">
        <f>TEXT(IFERROR(DATEVALUE(Transactions!B70),Transactions!B70),"MMM-YYYY")</f>
        <v>Jun-2025</v>
      </c>
      <c r="B69" s="18">
        <f>SUMPRODUCT((Transactions!P70:P2068="Active")*(Transactions!M70:M2068="INR")*(TEXT(IFERROR(DATEVALUE(Transactions!B70:B2068),Transactions!B70:B2068),"MMM-YYYY")=A70)*(Transactions!T70:T2068))</f>
        <v>13687.964</v>
      </c>
      <c r="C69" s="18">
        <f t="shared" si="1"/>
        <v>3942992.687</v>
      </c>
      <c r="D69" s="18">
        <f t="shared" si="2"/>
        <v>-92.71256485</v>
      </c>
    </row>
    <row r="70">
      <c r="A70" s="18" t="str">
        <f>TEXT(IFERROR(DATEVALUE(Transactions!B71),Transactions!B71),"MMM-YYYY")</f>
        <v>Sep-2024</v>
      </c>
      <c r="B70" s="18">
        <f>SUMPRODUCT((Transactions!P71:P2069="Active")*(Transactions!M71:M2069="INR")*(TEXT(IFERROR(DATEVALUE(Transactions!B71:B2069),Transactions!B71:B2069),"MMM-YYYY")=A71)*(Transactions!T71:T2069))</f>
        <v>997.5015</v>
      </c>
      <c r="C70" s="18">
        <f t="shared" si="1"/>
        <v>3943990.188</v>
      </c>
      <c r="D70" s="18">
        <f t="shared" si="2"/>
        <v>2372.509565</v>
      </c>
    </row>
    <row r="71">
      <c r="A71" s="18" t="str">
        <f>TEXT(IFERROR(DATEVALUE(Transactions!B72),Transactions!B72),"MMM-YYYY")</f>
        <v>Nov-2024</v>
      </c>
      <c r="B71" s="18">
        <f>SUMPRODUCT((Transactions!P72:P2070="Active")*(Transactions!M72:M2070="INR")*(TEXT(IFERROR(DATEVALUE(Transactions!B72:B2070),Transactions!B72:B2070),"MMM-YYYY")=A72)*(Transactions!T72:T2070))</f>
        <v>24663.32</v>
      </c>
      <c r="C71" s="18">
        <f t="shared" si="1"/>
        <v>3968653.508</v>
      </c>
      <c r="D71" s="18">
        <f t="shared" si="2"/>
        <v>-44.50072415</v>
      </c>
    </row>
    <row r="72">
      <c r="A72" s="18" t="str">
        <f>TEXT(IFERROR(DATEVALUE(Transactions!B73),Transactions!B73),"MMM-YYYY")</f>
        <v>May-2025</v>
      </c>
      <c r="B72" s="18">
        <f>SUMPRODUCT((Transactions!P73:P2071="Active")*(Transactions!M73:M2071="INR")*(TEXT(IFERROR(DATEVALUE(Transactions!B73:B2071),Transactions!B73:B2071),"MMM-YYYY")=A73)*(Transactions!T73:T2071))</f>
        <v>13687.964</v>
      </c>
      <c r="C72" s="18">
        <f t="shared" si="1"/>
        <v>3982341.472</v>
      </c>
      <c r="D72" s="18">
        <f t="shared" si="2"/>
        <v>185.9837867</v>
      </c>
    </row>
    <row r="73">
      <c r="A73" s="18" t="str">
        <f>TEXT(IFERROR(DATEVALUE(Transactions!B74),Transactions!B74),"MMM-YYYY")</f>
        <v>Sep-2024</v>
      </c>
      <c r="B73" s="18">
        <f>SUMPRODUCT((Transactions!P74:P2072="Active")*(Transactions!M74:M2072="INR")*(TEXT(IFERROR(DATEVALUE(Transactions!B74:B2072),Transactions!B74:B2072),"MMM-YYYY")=A74)*(Transactions!T74:T2072))</f>
        <v>39145.35777</v>
      </c>
      <c r="C73" s="18">
        <f t="shared" si="1"/>
        <v>4021486.83</v>
      </c>
      <c r="D73" s="18">
        <f t="shared" si="2"/>
        <v>55.90688009</v>
      </c>
    </row>
    <row r="74">
      <c r="A74" s="18" t="str">
        <f>TEXT(IFERROR(DATEVALUE(Transactions!B75),Transactions!B75),"MMM-YYYY")</f>
        <v>Jun-2025</v>
      </c>
      <c r="B74" s="18">
        <f>SUMPRODUCT((Transactions!P75:P2073="Active")*(Transactions!M75:M2073="INR")*(TEXT(IFERROR(DATEVALUE(Transactions!B75:B2073),Transactions!B75:B2073),"MMM-YYYY")=A75)*(Transactions!T75:T2073))</f>
        <v>61030.306</v>
      </c>
      <c r="C74" s="18">
        <f t="shared" si="1"/>
        <v>4082517.136</v>
      </c>
      <c r="D74" s="18">
        <f t="shared" si="2"/>
        <v>7.916946951</v>
      </c>
    </row>
    <row r="75">
      <c r="A75" s="18" t="str">
        <f>TEXT(IFERROR(DATEVALUE(Transactions!B76),Transactions!B76),"MMM-YYYY")</f>
        <v>Jul-2024</v>
      </c>
      <c r="B75" s="18">
        <f>SUMPRODUCT((Transactions!P76:P2074="Active")*(Transactions!M76:M2074="INR")*(TEXT(IFERROR(DATEVALUE(Transactions!B76:B2074),Transactions!B76:B2074),"MMM-YYYY")=A76)*(Transactions!T76:T2074))</f>
        <v>65862.04295</v>
      </c>
      <c r="C75" s="18">
        <f t="shared" si="1"/>
        <v>4148379.179</v>
      </c>
      <c r="D75" s="18">
        <f t="shared" si="2"/>
        <v>-79.21721923</v>
      </c>
    </row>
    <row r="76">
      <c r="A76" s="18" t="str">
        <f>TEXT(IFERROR(DATEVALUE(Transactions!B77),Transactions!B77),"MMM-YYYY")</f>
        <v>Mar-2025</v>
      </c>
      <c r="B76" s="18">
        <f>SUMPRODUCT((Transactions!P77:P2075="Active")*(Transactions!M77:M2075="INR")*(TEXT(IFERROR(DATEVALUE(Transactions!B77:B2075),Transactions!B77:B2075),"MMM-YYYY")=A77)*(Transactions!T77:T2075))</f>
        <v>13687.964</v>
      </c>
      <c r="C76" s="18">
        <f t="shared" si="1"/>
        <v>4162067.143</v>
      </c>
      <c r="D76" s="18">
        <f t="shared" si="2"/>
        <v>315.4229435</v>
      </c>
    </row>
    <row r="77">
      <c r="A77" s="18" t="str">
        <f>TEXT(IFERROR(DATEVALUE(Transactions!B78),Transactions!B78),"MMM-YYYY")</f>
        <v>Sep-2024</v>
      </c>
      <c r="B77" s="18">
        <f>SUMPRODUCT((Transactions!P78:P2076="Active")*(Transactions!M78:M2076="INR")*(TEXT(IFERROR(DATEVALUE(Transactions!B78:B2076),Transactions!B78:B2076),"MMM-YYYY")=A78)*(Transactions!T78:T2076))</f>
        <v>56862.94295</v>
      </c>
      <c r="C77" s="18">
        <f t="shared" si="1"/>
        <v>4218930.086</v>
      </c>
      <c r="D77" s="18">
        <f t="shared" si="2"/>
        <v>-69.22787975</v>
      </c>
    </row>
    <row r="78">
      <c r="A78" s="18" t="str">
        <f>TEXT(IFERROR(DATEVALUE(Transactions!B79),Transactions!B79),"MMM-YYYY")</f>
        <v>Mar-2025</v>
      </c>
      <c r="B78" s="18">
        <f>SUMPRODUCT((Transactions!P79:P2077="Active")*(Transactions!M79:M2077="INR")*(TEXT(IFERROR(DATEVALUE(Transactions!B79:B2077),Transactions!B79:B2077),"MMM-YYYY")=A79)*(Transactions!T79:T2077))</f>
        <v>17497.93318</v>
      </c>
      <c r="C78" s="18">
        <f t="shared" si="1"/>
        <v>4236428.019</v>
      </c>
      <c r="D78" s="18">
        <f t="shared" si="2"/>
        <v>398.0459155</v>
      </c>
    </row>
    <row r="79">
      <c r="A79" s="18" t="str">
        <f>TEXT(IFERROR(DATEVALUE(Transactions!B80),Transactions!B80),"MMM-YYYY")</f>
        <v>Apr-2025</v>
      </c>
      <c r="B79" s="18">
        <f>SUMPRODUCT((Transactions!P80:P2078="Active")*(Transactions!M80:M2078="INR")*(TEXT(IFERROR(DATEVALUE(Transactions!B80:B2078),Transactions!B80:B2078),"MMM-YYYY")=A80)*(Transactions!T80:T2078))</f>
        <v>87147.7415</v>
      </c>
      <c r="C79" s="18">
        <f t="shared" si="1"/>
        <v>4323575.761</v>
      </c>
      <c r="D79" s="18">
        <f t="shared" si="2"/>
        <v>-35.78279599</v>
      </c>
    </row>
    <row r="80">
      <c r="A80" s="18" t="str">
        <f>TEXT(IFERROR(DATEVALUE(Transactions!B81),Transactions!B81),"MMM-YYYY")</f>
        <v>Aug-2024</v>
      </c>
      <c r="B80" s="18">
        <f>SUMPRODUCT((Transactions!P81:P2079="Active")*(Transactions!M81:M2079="INR")*(TEXT(IFERROR(DATEVALUE(Transactions!B81:B2079),Transactions!B81:B2079),"MMM-YYYY")=A81)*(Transactions!T81:T2079))</f>
        <v>55963.84295</v>
      </c>
      <c r="C80" s="18">
        <f t="shared" si="1"/>
        <v>4379539.603</v>
      </c>
      <c r="D80" s="18">
        <f t="shared" si="2"/>
        <v>-34.6074075</v>
      </c>
    </row>
    <row r="81">
      <c r="A81" s="18" t="str">
        <f>TEXT(IFERROR(DATEVALUE(Transactions!B82),Transactions!B82),"MMM-YYYY")</f>
        <v>Mar-2025</v>
      </c>
      <c r="B81" s="18">
        <f>SUMPRODUCT((Transactions!P82:P2080="Active")*(Transactions!M82:M2080="INR")*(TEXT(IFERROR(DATEVALUE(Transactions!B82:B2080),Transactions!B82:B2080),"MMM-YYYY")=A82)*(Transactions!T82:T2080))</f>
        <v>36596.20777</v>
      </c>
      <c r="C81" s="18">
        <f t="shared" si="1"/>
        <v>4416135.811</v>
      </c>
      <c r="D81" s="18">
        <f t="shared" si="2"/>
        <v>138.133257</v>
      </c>
    </row>
    <row r="82">
      <c r="A82" s="18" t="str">
        <f>TEXT(IFERROR(DATEVALUE(Transactions!B83),Transactions!B83),"MMM-YYYY")</f>
        <v>Jun-2025</v>
      </c>
      <c r="B82" s="18">
        <f>SUMPRODUCT((Transactions!P83:P2081="Active")*(Transactions!M83:M2081="INR")*(TEXT(IFERROR(DATEVALUE(Transactions!B83:B2081),Transactions!B83:B2081),"MMM-YYYY")=A83)*(Transactions!T83:T2081))</f>
        <v>87147.7415</v>
      </c>
      <c r="C82" s="18">
        <f t="shared" si="1"/>
        <v>4503283.553</v>
      </c>
      <c r="D82" s="18">
        <f t="shared" si="2"/>
        <v>-35.78279599</v>
      </c>
    </row>
    <row r="83">
      <c r="A83" s="18" t="str">
        <f>TEXT(IFERROR(DATEVALUE(Transactions!B84),Transactions!B84),"MMM-YYYY")</f>
        <v>Aug-2024</v>
      </c>
      <c r="B83" s="18">
        <f>SUMPRODUCT((Transactions!P84:P2082="Active")*(Transactions!M84:M2082="INR")*(TEXT(IFERROR(DATEVALUE(Transactions!B84:B2082),Transactions!B84:B2082),"MMM-YYYY")=A84)*(Transactions!T84:T2082))</f>
        <v>55963.84295</v>
      </c>
      <c r="C83" s="18">
        <f t="shared" si="1"/>
        <v>4559247.396</v>
      </c>
      <c r="D83" s="18">
        <f t="shared" si="2"/>
        <v>-55.92990277</v>
      </c>
    </row>
    <row r="84">
      <c r="A84" s="18" t="str">
        <f>TEXT(IFERROR(DATEVALUE(Transactions!B85),Transactions!B85),"MMM-YYYY")</f>
        <v>Mar-2025</v>
      </c>
      <c r="B84" s="18">
        <f>SUMPRODUCT((Transactions!P85:P2083="Active")*(Transactions!M85:M2083="INR")*(TEXT(IFERROR(DATEVALUE(Transactions!B85:B2083),Transactions!B85:B2083),"MMM-YYYY")=A85)*(Transactions!T85:T2083))</f>
        <v>24663.32</v>
      </c>
      <c r="C84" s="18">
        <f t="shared" si="1"/>
        <v>4583910.716</v>
      </c>
      <c r="D84" s="18">
        <f t="shared" si="2"/>
        <v>44.08145282</v>
      </c>
    </row>
    <row r="85">
      <c r="A85" s="18" t="str">
        <f>TEXT(IFERROR(DATEVALUE(Transactions!B86),Transactions!B86),"MMM-YYYY")</f>
        <v>May-2025</v>
      </c>
      <c r="B85" s="18">
        <f>SUMPRODUCT((Transactions!P86:P2084="Active")*(Transactions!M86:M2084="INR")*(TEXT(IFERROR(DATEVALUE(Transactions!B86:B2084),Transactions!B86:B2084),"MMM-YYYY")=A86)*(Transactions!T86:T2084))</f>
        <v>35535.26977</v>
      </c>
      <c r="C85" s="18">
        <f t="shared" si="1"/>
        <v>4619445.985</v>
      </c>
      <c r="D85" s="18">
        <f t="shared" si="2"/>
        <v>145.2429433</v>
      </c>
    </row>
    <row r="86">
      <c r="A86" s="18" t="str">
        <f>TEXT(IFERROR(DATEVALUE(Transactions!B87),Transactions!B87),"MMM-YYYY")</f>
        <v>Jun-2025</v>
      </c>
      <c r="B86" s="18">
        <f>SUMPRODUCT((Transactions!P87:P2085="Active")*(Transactions!M87:M2085="INR")*(TEXT(IFERROR(DATEVALUE(Transactions!B87:B2085),Transactions!B87:B2085),"MMM-YYYY")=A87)*(Transactions!T87:T2085))</f>
        <v>87147.7415</v>
      </c>
      <c r="C86" s="18">
        <f t="shared" si="1"/>
        <v>4706593.727</v>
      </c>
      <c r="D86" s="18">
        <f t="shared" si="2"/>
        <v>-42.91328766</v>
      </c>
    </row>
    <row r="87">
      <c r="A87" s="18" t="str">
        <f>TEXT(IFERROR(DATEVALUE(Transactions!B88),Transactions!B88),"MMM-YYYY")</f>
        <v>Aug-2024</v>
      </c>
      <c r="B87" s="18">
        <f>SUMPRODUCT((Transactions!P88:P2086="Active")*(Transactions!M88:M2086="INR")*(TEXT(IFERROR(DATEVALUE(Transactions!B88:B2086),Transactions!B88:B2086),"MMM-YYYY")=A88)*(Transactions!T88:T2086))</f>
        <v>49749.7805</v>
      </c>
      <c r="C87" s="18">
        <f t="shared" si="1"/>
        <v>4756343.507</v>
      </c>
      <c r="D87" s="18">
        <f t="shared" si="2"/>
        <v>-58.19875627</v>
      </c>
    </row>
    <row r="88">
      <c r="A88" s="18" t="str">
        <f>TEXT(IFERROR(DATEVALUE(Transactions!B89),Transactions!B89),"MMM-YYYY")</f>
        <v>Jan-2025</v>
      </c>
      <c r="B88" s="18">
        <f>SUMPRODUCT((Transactions!P89:P2087="Active")*(Transactions!M89:M2087="INR")*(TEXT(IFERROR(DATEVALUE(Transactions!B89:B2087),Transactions!B89:B2087),"MMM-YYYY")=A89)*(Transactions!T89:T2087))</f>
        <v>20796.027</v>
      </c>
      <c r="C88" s="18">
        <f t="shared" si="1"/>
        <v>4777139.534</v>
      </c>
      <c r="D88" s="18">
        <f t="shared" si="2"/>
        <v>89.27138102</v>
      </c>
    </row>
    <row r="89">
      <c r="A89" s="18" t="str">
        <f>TEXT(IFERROR(DATEVALUE(Transactions!B90),Transactions!B90),"MMM-YYYY")</f>
        <v>Oct-2024</v>
      </c>
      <c r="B89" s="18">
        <f>SUMPRODUCT((Transactions!P90:P2088="Active")*(Transactions!M90:M2088="INR")*(TEXT(IFERROR(DATEVALUE(Transactions!B90:B2088),Transactions!B90:B2088),"MMM-YYYY")=A90)*(Transactions!T90:T2088))</f>
        <v>39360.9275</v>
      </c>
      <c r="C89" s="18">
        <f t="shared" si="1"/>
        <v>4816500.462</v>
      </c>
      <c r="D89" s="18">
        <f t="shared" si="2"/>
        <v>39.18631097</v>
      </c>
    </row>
    <row r="90">
      <c r="A90" s="18" t="str">
        <f>TEXT(IFERROR(DATEVALUE(Transactions!B91),Transactions!B91),"MMM-YYYY")</f>
        <v>Aug-2024</v>
      </c>
      <c r="B90" s="18">
        <f>SUMPRODUCT((Transactions!P91:P2089="Active")*(Transactions!M91:M2089="INR")*(TEXT(IFERROR(DATEVALUE(Transactions!B91:B2089),Transactions!B91:B2089),"MMM-YYYY")=A91)*(Transactions!T91:T2089))</f>
        <v>54785.02295</v>
      </c>
      <c r="C90" s="18">
        <f t="shared" si="1"/>
        <v>4871285.485</v>
      </c>
      <c r="D90" s="18">
        <f t="shared" si="2"/>
        <v>-100</v>
      </c>
    </row>
    <row r="91">
      <c r="A91" s="18" t="str">
        <f>TEXT(IFERROR(DATEVALUE(Transactions!B92),Transactions!B92),"MMM-YYYY")</f>
        <v>Mar-2025</v>
      </c>
      <c r="B91" s="18">
        <f>SUMPRODUCT((Transactions!P92:P2090="Active")*(Transactions!M92:M2090="INR")*(TEXT(IFERROR(DATEVALUE(Transactions!B92:B2090),Transactions!B92:B2090),"MMM-YYYY")=A92)*(Transactions!T92:T2090))</f>
        <v>0</v>
      </c>
      <c r="C91" s="18">
        <f t="shared" si="1"/>
        <v>4871285.485</v>
      </c>
      <c r="D91" s="18" t="str">
        <f t="shared" si="2"/>
        <v>N/A</v>
      </c>
    </row>
    <row r="92">
      <c r="A92" s="18" t="str">
        <f>TEXT(IFERROR(DATEVALUE(Transactions!B93),Transactions!B93),"MMM-YYYY")</f>
        <v>Nov-2024</v>
      </c>
      <c r="B92" s="18">
        <f>SUMPRODUCT((Transactions!P93:P2091="Active")*(Transactions!M93:M2091="INR")*(TEXT(IFERROR(DATEVALUE(Transactions!B93:B2091),Transactions!B93:B2091),"MMM-YYYY")=A93)*(Transactions!T93:T2091))</f>
        <v>0</v>
      </c>
      <c r="C92" s="18">
        <f t="shared" si="1"/>
        <v>4871285.485</v>
      </c>
      <c r="D92" s="18" t="str">
        <f t="shared" si="2"/>
        <v>N/A</v>
      </c>
    </row>
    <row r="93">
      <c r="A93" s="18" t="str">
        <f>TEXT(IFERROR(DATEVALUE(Transactions!B94),Transactions!B94),"MMM-YYYY")</f>
        <v>20-02-2025</v>
      </c>
      <c r="B93" s="18">
        <f>SUMPRODUCT((Transactions!P94:P2092="Active")*(Transactions!M94:M2092="INR")*(TEXT(IFERROR(DATEVALUE(Transactions!B94:B2092),Transactions!B94:B2092),"MMM-YYYY")=A94)*(Transactions!T94:T2092))</f>
        <v>35535.26977</v>
      </c>
      <c r="C93" s="18">
        <f t="shared" si="1"/>
        <v>4906820.755</v>
      </c>
      <c r="D93" s="18">
        <f t="shared" si="2"/>
        <v>-53.10540737</v>
      </c>
    </row>
    <row r="94">
      <c r="A94" s="18" t="str">
        <f>TEXT(IFERROR(DATEVALUE(Transactions!B95),Transactions!B95),"MMM-YYYY")</f>
        <v>Jun-2025</v>
      </c>
      <c r="B94" s="18">
        <f>SUMPRODUCT((Transactions!P95:P2093="Active")*(Transactions!M95:M2093="INR")*(TEXT(IFERROR(DATEVALUE(Transactions!B95:B2093),Transactions!B95:B2093),"MMM-YYYY")=A95)*(Transactions!T95:T2093))</f>
        <v>16664.12</v>
      </c>
      <c r="C94" s="18">
        <f t="shared" si="1"/>
        <v>4923484.875</v>
      </c>
      <c r="D94" s="18">
        <f t="shared" si="2"/>
        <v>0</v>
      </c>
    </row>
    <row r="95">
      <c r="A95" s="18" t="str">
        <f>TEXT(IFERROR(DATEVALUE(Transactions!B96),Transactions!B96),"MMM-YYYY")</f>
        <v>May-2025</v>
      </c>
      <c r="B95" s="18">
        <f>SUMPRODUCT((Transactions!P96:P2094="Active")*(Transactions!M96:M2094="INR")*(TEXT(IFERROR(DATEVALUE(Transactions!B96:B2094),Transactions!B96:B2094),"MMM-YYYY")=A96)*(Transactions!T96:T2094))</f>
        <v>16664.12</v>
      </c>
      <c r="C95" s="18">
        <f t="shared" si="1"/>
        <v>4940148.995</v>
      </c>
      <c r="D95" s="18">
        <f t="shared" si="2"/>
        <v>193.1488761</v>
      </c>
    </row>
    <row r="96">
      <c r="A96" s="18" t="str">
        <f>TEXT(IFERROR(DATEVALUE(Transactions!B97),Transactions!B97),"MMM-YYYY")</f>
        <v>May-2025</v>
      </c>
      <c r="B96" s="18">
        <f>SUMPRODUCT((Transactions!P97:P2095="Active")*(Transactions!M97:M2095="INR")*(TEXT(IFERROR(DATEVALUE(Transactions!B97:B2095),Transactions!B97:B2095),"MMM-YYYY")=A97)*(Transactions!T97:T2095))</f>
        <v>48850.6805</v>
      </c>
      <c r="C96" s="18">
        <f t="shared" si="1"/>
        <v>4988999.675</v>
      </c>
      <c r="D96" s="18">
        <f t="shared" si="2"/>
        <v>-57.42940162</v>
      </c>
    </row>
    <row r="97">
      <c r="A97" s="18" t="str">
        <f>TEXT(IFERROR(DATEVALUE(Transactions!B98),Transactions!B98),"MMM-YYYY")</f>
        <v>Jan-2025</v>
      </c>
      <c r="B97" s="18">
        <f>SUMPRODUCT((Transactions!P98:P2096="Active")*(Transactions!M98:M2096="INR")*(TEXT(IFERROR(DATEVALUE(Transactions!B98:B2096),Transactions!B98:B2096),"MMM-YYYY")=A98)*(Transactions!T98:T2096))</f>
        <v>20796.027</v>
      </c>
      <c r="C97" s="18">
        <f t="shared" si="1"/>
        <v>5009795.702</v>
      </c>
      <c r="D97" s="18">
        <f t="shared" si="2"/>
        <v>-92.77026809</v>
      </c>
    </row>
    <row r="98">
      <c r="A98" s="18" t="str">
        <f>TEXT(IFERROR(DATEVALUE(Transactions!B99),Transactions!B99),"MMM-YYYY")</f>
        <v>Oct-2024</v>
      </c>
      <c r="B98" s="18">
        <f>SUMPRODUCT((Transactions!P99:P2097="Active")*(Transactions!M99:M2097="INR")*(TEXT(IFERROR(DATEVALUE(Transactions!B99:B2097),Transactions!B99:B2097),"MMM-YYYY")=A99)*(Transactions!T99:T2097))</f>
        <v>1503.497</v>
      </c>
      <c r="C98" s="18">
        <f t="shared" si="1"/>
        <v>5011299.199</v>
      </c>
      <c r="D98" s="18">
        <f t="shared" si="2"/>
        <v>739.8437775</v>
      </c>
    </row>
    <row r="99">
      <c r="A99" s="18" t="str">
        <f>TEXT(IFERROR(DATEVALUE(Transactions!B100),Transactions!B100),"MMM-YYYY")</f>
        <v>Feb-2025</v>
      </c>
      <c r="B99" s="18">
        <f>SUMPRODUCT((Transactions!P100:P2098="Active")*(Transactions!M100:M2098="INR")*(TEXT(IFERROR(DATEVALUE(Transactions!B100:B2098),Transactions!B100:B2098),"MMM-YYYY")=A100)*(Transactions!T100:T2098))</f>
        <v>12627.026</v>
      </c>
      <c r="C99" s="18">
        <f t="shared" si="1"/>
        <v>5023926.225</v>
      </c>
      <c r="D99" s="18">
        <f t="shared" si="2"/>
        <v>38.57525264</v>
      </c>
    </row>
    <row r="100">
      <c r="A100" s="18" t="str">
        <f>TEXT(IFERROR(DATEVALUE(Transactions!B101),Transactions!B101),"MMM-YYYY")</f>
        <v>Sep-2024</v>
      </c>
      <c r="B100" s="18">
        <f>SUMPRODUCT((Transactions!P101:P2099="Active")*(Transactions!M101:M2099="INR")*(TEXT(IFERROR(DATEVALUE(Transactions!B101:B2099),Transactions!B101:B2099),"MMM-YYYY")=A101)*(Transactions!T101:T2099))</f>
        <v>17497.93318</v>
      </c>
      <c r="C100" s="18">
        <f t="shared" si="1"/>
        <v>5041424.158</v>
      </c>
      <c r="D100" s="18">
        <f t="shared" si="2"/>
        <v>-27.83704298</v>
      </c>
    </row>
    <row r="101">
      <c r="A101" s="18" t="str">
        <f>TEXT(IFERROR(DATEVALUE(Transactions!B102),Transactions!B102),"MMM-YYYY")</f>
        <v>Apr-2025</v>
      </c>
      <c r="B101" s="18">
        <f>SUMPRODUCT((Transactions!P102:P2100="Active")*(Transactions!M102:M2100="INR")*(TEXT(IFERROR(DATEVALUE(Transactions!B102:B2100),Transactions!B102:B2100),"MMM-YYYY")=A102)*(Transactions!T102:T2100))</f>
        <v>12627.026</v>
      </c>
      <c r="C101" s="18">
        <f t="shared" si="1"/>
        <v>5054051.184</v>
      </c>
      <c r="D101" s="18">
        <f t="shared" si="2"/>
        <v>-17.66707378</v>
      </c>
    </row>
    <row r="102">
      <c r="A102" s="18" t="str">
        <f>TEXT(IFERROR(DATEVALUE(Transactions!B103),Transactions!B103),"MMM-YYYY")</f>
        <v>Sep-2024</v>
      </c>
      <c r="B102" s="18">
        <f>SUMPRODUCT((Transactions!P103:P2101="Active")*(Transactions!M103:M2101="INR")*(TEXT(IFERROR(DATEVALUE(Transactions!B103:B2101),Transactions!B103:B2101),"MMM-YYYY")=A103)*(Transactions!T103:T2101))</f>
        <v>10396.2</v>
      </c>
      <c r="C102" s="18">
        <f t="shared" si="1"/>
        <v>5064447.384</v>
      </c>
      <c r="D102" s="18">
        <f t="shared" si="2"/>
        <v>231.6051227</v>
      </c>
    </row>
    <row r="103">
      <c r="A103" s="18" t="str">
        <f>TEXT(IFERROR(DATEVALUE(Transactions!B104),Transactions!B104),"MMM-YYYY")</f>
        <v>May-2025</v>
      </c>
      <c r="B103" s="18">
        <f>SUMPRODUCT((Transactions!P104:P2102="Active")*(Transactions!M104:M2102="INR")*(TEXT(IFERROR(DATEVALUE(Transactions!B104:B2102),Transactions!B104:B2102),"MMM-YYYY")=A104)*(Transactions!T104:T2102))</f>
        <v>34474.33177</v>
      </c>
      <c r="C103" s="18">
        <f t="shared" si="1"/>
        <v>5098921.716</v>
      </c>
      <c r="D103" s="18">
        <f t="shared" si="2"/>
        <v>-14.78609014</v>
      </c>
    </row>
    <row r="104">
      <c r="A104" s="18" t="str">
        <f>TEXT(IFERROR(DATEVALUE(Transactions!B105),Transactions!B105),"MMM-YYYY")</f>
        <v>Jun-2025</v>
      </c>
      <c r="B104" s="18">
        <f>SUMPRODUCT((Transactions!P105:P2103="Active")*(Transactions!M105:M2103="INR")*(TEXT(IFERROR(DATEVALUE(Transactions!B105:B2103),Transactions!B105:B2103),"MMM-YYYY")=A105)*(Transactions!T105:T2103))</f>
        <v>29376.926</v>
      </c>
      <c r="C104" s="18">
        <f t="shared" si="1"/>
        <v>5128298.642</v>
      </c>
      <c r="D104" s="18">
        <f t="shared" si="2"/>
        <v>83.28379821</v>
      </c>
    </row>
    <row r="105">
      <c r="A105" s="18" t="str">
        <f>TEXT(IFERROR(DATEVALUE(Transactions!B106),Transactions!B106),"MMM-YYYY")</f>
        <v>Aug-2024</v>
      </c>
      <c r="B105" s="18">
        <f>SUMPRODUCT((Transactions!P106:P2104="Active")*(Transactions!M106:M2104="INR")*(TEXT(IFERROR(DATEVALUE(Transactions!B106:B2104),Transactions!B106:B2104),"MMM-YYYY")=A106)*(Transactions!T106:T2104))</f>
        <v>53843.14577</v>
      </c>
      <c r="C105" s="18">
        <f t="shared" si="1"/>
        <v>5182141.788</v>
      </c>
      <c r="D105" s="18">
        <f t="shared" si="2"/>
        <v>-97.20763529</v>
      </c>
    </row>
    <row r="106">
      <c r="A106" s="18" t="str">
        <f>TEXT(IFERROR(DATEVALUE(Transactions!B107),Transactions!B107),"MMM-YYYY")</f>
        <v>Mar-2025</v>
      </c>
      <c r="B106" s="18">
        <f>SUMPRODUCT((Transactions!P107:P2105="Active")*(Transactions!M107:M2105="INR")*(TEXT(IFERROR(DATEVALUE(Transactions!B107:B2105),Transactions!B107:B2105),"MMM-YYYY")=A107)*(Transactions!T107:T2105))</f>
        <v>1503.497</v>
      </c>
      <c r="C106" s="18">
        <f t="shared" si="1"/>
        <v>5183645.285</v>
      </c>
      <c r="D106" s="18">
        <f t="shared" si="2"/>
        <v>122.0740833</v>
      </c>
    </row>
    <row r="107">
      <c r="A107" s="18" t="str">
        <f>TEXT(IFERROR(DATEVALUE(Transactions!B108),Transactions!B108),"MMM-YYYY")</f>
        <v>Feb-2025</v>
      </c>
      <c r="B107" s="18">
        <f>SUMPRODUCT((Transactions!P108:P2106="Active")*(Transactions!M108:M2106="INR")*(TEXT(IFERROR(DATEVALUE(Transactions!B108:B2106),Transactions!B108:B2106),"MMM-YYYY")=A108)*(Transactions!T108:T2106))</f>
        <v>3338.87718</v>
      </c>
      <c r="C107" s="18">
        <f t="shared" si="1"/>
        <v>5186984.162</v>
      </c>
      <c r="D107" s="18">
        <f t="shared" si="2"/>
        <v>-100</v>
      </c>
    </row>
    <row r="108">
      <c r="A108" s="18" t="str">
        <f>TEXT(IFERROR(DATEVALUE(Transactions!B109),Transactions!B109),"MMM-YYYY")</f>
        <v>Apr-2025</v>
      </c>
      <c r="B108" s="18">
        <f>SUMPRODUCT((Transactions!P109:P2107="Active")*(Transactions!M109:M2107="INR")*(TEXT(IFERROR(DATEVALUE(Transactions!B109:B2107),Transactions!B109:B2107),"MMM-YYYY")=A109)*(Transactions!T109:T2107))</f>
        <v>0</v>
      </c>
      <c r="C108" s="18">
        <f t="shared" si="1"/>
        <v>5186984.162</v>
      </c>
      <c r="D108" s="18" t="str">
        <f t="shared" si="2"/>
        <v>N/A</v>
      </c>
    </row>
    <row r="109">
      <c r="A109" s="18" t="str">
        <f>TEXT(IFERROR(DATEVALUE(Transactions!B110),Transactions!B110),"MMM-YYYY")</f>
        <v>Dec-2024</v>
      </c>
      <c r="B109" s="18">
        <f>SUMPRODUCT((Transactions!P110:P2108="Active")*(Transactions!M110:M2108="INR")*(TEXT(IFERROR(DATEVALUE(Transactions!B110:B2108),Transactions!B110:B2108),"MMM-YYYY")=A110)*(Transactions!T110:T2108))</f>
        <v>48850.6805</v>
      </c>
      <c r="C109" s="18">
        <f t="shared" si="1"/>
        <v>5235834.843</v>
      </c>
      <c r="D109" s="18">
        <f t="shared" si="2"/>
        <v>0</v>
      </c>
    </row>
    <row r="110">
      <c r="A110" s="18" t="str">
        <f>TEXT(IFERROR(DATEVALUE(Transactions!B111),Transactions!B111),"MMM-YYYY")</f>
        <v>Jan-2025</v>
      </c>
      <c r="B110" s="18">
        <f>SUMPRODUCT((Transactions!P111:P2109="Active")*(Transactions!M111:M2109="INR")*(TEXT(IFERROR(DATEVALUE(Transactions!B111:B2109),Transactions!B111:B2109),"MMM-YYYY")=A111)*(Transactions!T111:T2109))</f>
        <v>48850.6805</v>
      </c>
      <c r="C110" s="18">
        <f t="shared" si="1"/>
        <v>5284685.523</v>
      </c>
      <c r="D110" s="18">
        <f t="shared" si="2"/>
        <v>-45.65722785</v>
      </c>
    </row>
    <row r="111">
      <c r="A111" s="18" t="str">
        <f>TEXT(IFERROR(DATEVALUE(Transactions!B112),Transactions!B112),"MMM-YYYY")</f>
        <v>Jan-2025</v>
      </c>
      <c r="B111" s="18">
        <f>SUMPRODUCT((Transactions!P112:P2110="Active")*(Transactions!M112:M2110="INR")*(TEXT(IFERROR(DATEVALUE(Transactions!B112:B2110),Transactions!B112:B2110),"MMM-YYYY")=A112)*(Transactions!T112:T2110))</f>
        <v>26546.814</v>
      </c>
      <c r="C111" s="18">
        <f t="shared" si="1"/>
        <v>5311232.337</v>
      </c>
      <c r="D111" s="18">
        <f t="shared" si="2"/>
        <v>-100</v>
      </c>
    </row>
    <row r="112">
      <c r="A112" s="18" t="str">
        <f>TEXT(IFERROR(DATEVALUE(Transactions!B113),Transactions!B113),"MMM-YYYY")</f>
        <v>Aug-2024</v>
      </c>
      <c r="B112" s="18">
        <f>SUMPRODUCT((Transactions!P113:P2111="Active")*(Transactions!M113:M2111="INR")*(TEXT(IFERROR(DATEVALUE(Transactions!B113:B2111),Transactions!B113:B2111),"MMM-YYYY")=A113)*(Transactions!T113:T2111))</f>
        <v>0</v>
      </c>
      <c r="C112" s="18">
        <f t="shared" si="1"/>
        <v>5311232.337</v>
      </c>
      <c r="D112" s="18" t="str">
        <f t="shared" si="2"/>
        <v>N/A</v>
      </c>
    </row>
    <row r="113">
      <c r="A113" s="18" t="str">
        <f>TEXT(IFERROR(DATEVALUE(Transactions!B114),Transactions!B114),"MMM-YYYY")</f>
        <v>Nov-2024</v>
      </c>
      <c r="B113" s="18">
        <f>SUMPRODUCT((Transactions!P114:P2112="Active")*(Transactions!M114:M2112="INR")*(TEXT(IFERROR(DATEVALUE(Transactions!B114:B2112),Transactions!B114:B2112),"MMM-YYYY")=A114)*(Transactions!T114:T2112))</f>
        <v>0</v>
      </c>
      <c r="C113" s="18">
        <f t="shared" si="1"/>
        <v>5311232.337</v>
      </c>
      <c r="D113" s="18" t="str">
        <f t="shared" si="2"/>
        <v>N/A</v>
      </c>
    </row>
    <row r="114">
      <c r="A114" s="18" t="str">
        <f>TEXT(IFERROR(DATEVALUE(Transactions!B115),Transactions!B115),"MMM-YYYY")</f>
        <v>Dec-2024</v>
      </c>
      <c r="B114" s="18">
        <f>SUMPRODUCT((Transactions!P115:P2113="Active")*(Transactions!M115:M2113="INR")*(TEXT(IFERROR(DATEVALUE(Transactions!B115:B2113),Transactions!B115:B2113),"MMM-YYYY")=A115)*(Transactions!T115:T2113))</f>
        <v>941.87718</v>
      </c>
      <c r="C114" s="18">
        <f t="shared" si="1"/>
        <v>5312174.214</v>
      </c>
      <c r="D114" s="18">
        <f t="shared" si="2"/>
        <v>5616.578224</v>
      </c>
    </row>
    <row r="115">
      <c r="A115" s="18" t="str">
        <f>TEXT(IFERROR(DATEVALUE(Transactions!B116),Transactions!B116),"MMM-YYYY")</f>
        <v>Apr-2025</v>
      </c>
      <c r="B115" s="18">
        <f>SUMPRODUCT((Transactions!P116:P2114="Active")*(Transactions!M116:M2114="INR")*(TEXT(IFERROR(DATEVALUE(Transactions!B116:B2114),Transactions!B116:B2114),"MMM-YYYY")=A116)*(Transactions!T116:T2114))</f>
        <v>53843.14577</v>
      </c>
      <c r="C115" s="18">
        <f t="shared" si="1"/>
        <v>5366017.36</v>
      </c>
      <c r="D115" s="18">
        <f t="shared" si="2"/>
        <v>-55.65790472</v>
      </c>
    </row>
    <row r="116">
      <c r="A116" s="18" t="str">
        <f>TEXT(IFERROR(DATEVALUE(Transactions!B117),Transactions!B117),"MMM-YYYY")</f>
        <v>Mar-2025</v>
      </c>
      <c r="B116" s="18">
        <f>SUMPRODUCT((Transactions!P117:P2115="Active")*(Transactions!M117:M2115="INR")*(TEXT(IFERROR(DATEVALUE(Transactions!B117:B2115),Transactions!B117:B2115),"MMM-YYYY")=A117)*(Transactions!T117:T2115))</f>
        <v>23875.179</v>
      </c>
      <c r="C116" s="18">
        <f t="shared" si="1"/>
        <v>5389892.539</v>
      </c>
      <c r="D116" s="18">
        <f t="shared" si="2"/>
        <v>11.19001035</v>
      </c>
    </row>
    <row r="117">
      <c r="A117" s="18" t="str">
        <f>TEXT(IFERROR(DATEVALUE(Transactions!B118),Transactions!B118),"MMM-YYYY")</f>
        <v>Jan-2025</v>
      </c>
      <c r="B117" s="18">
        <f>SUMPRODUCT((Transactions!P118:P2116="Active")*(Transactions!M118:M2116="INR")*(TEXT(IFERROR(DATEVALUE(Transactions!B118:B2116),Transactions!B118:B2116),"MMM-YYYY")=A118)*(Transactions!T118:T2116))</f>
        <v>26546.814</v>
      </c>
      <c r="C117" s="18">
        <f t="shared" si="1"/>
        <v>5416439.353</v>
      </c>
      <c r="D117" s="18">
        <f t="shared" si="2"/>
        <v>-25.42221451</v>
      </c>
    </row>
    <row r="118">
      <c r="A118" s="18" t="str">
        <f>TEXT(IFERROR(DATEVALUE(Transactions!B119),Transactions!B119),"MMM-YYYY")</f>
        <v>Aug-2024</v>
      </c>
      <c r="B118" s="18">
        <f>SUMPRODUCT((Transactions!P119:P2117="Active")*(Transactions!M119:M2117="INR")*(TEXT(IFERROR(DATEVALUE(Transactions!B119:B2117),Transactions!B119:B2117),"MMM-YYYY")=A119)*(Transactions!T119:T2117))</f>
        <v>19798.026</v>
      </c>
      <c r="C118" s="18">
        <f t="shared" si="1"/>
        <v>5436237.379</v>
      </c>
      <c r="D118" s="18">
        <f t="shared" si="2"/>
        <v>-100</v>
      </c>
    </row>
    <row r="119">
      <c r="A119" s="18" t="str">
        <f>TEXT(IFERROR(DATEVALUE(Transactions!B120),Transactions!B120),"MMM-YYYY")</f>
        <v>Oct-2024</v>
      </c>
      <c r="B119" s="18">
        <f>SUMPRODUCT((Transactions!P120:P2118="Active")*(Transactions!M120:M2118="INR")*(TEXT(IFERROR(DATEVALUE(Transactions!B120:B2118),Transactions!B120:B2118),"MMM-YYYY")=A120)*(Transactions!T120:T2118))</f>
        <v>0</v>
      </c>
      <c r="C119" s="18">
        <f t="shared" si="1"/>
        <v>5436237.379</v>
      </c>
      <c r="D119" s="18" t="str">
        <f t="shared" si="2"/>
        <v>N/A</v>
      </c>
    </row>
    <row r="120">
      <c r="A120" s="18" t="str">
        <f>TEXT(IFERROR(DATEVALUE(Transactions!B121),Transactions!B121),"MMM-YYYY")</f>
        <v>Dec-2024</v>
      </c>
      <c r="B120" s="18">
        <f>SUMPRODUCT((Transactions!P121:P2119="Active")*(Transactions!M121:M2119="INR")*(TEXT(IFERROR(DATEVALUE(Transactions!B121:B2119),Transactions!B121:B2119),"MMM-YYYY")=A121)*(Transactions!T121:T2119))</f>
        <v>23875.179</v>
      </c>
      <c r="C120" s="18">
        <f t="shared" si="1"/>
        <v>5460112.558</v>
      </c>
      <c r="D120" s="18">
        <f t="shared" si="2"/>
        <v>122.507424</v>
      </c>
    </row>
    <row r="121">
      <c r="A121" s="18" t="str">
        <f>TEXT(IFERROR(DATEVALUE(Transactions!B122),Transactions!B122),"MMM-YYYY")</f>
        <v>Jan-2025</v>
      </c>
      <c r="B121" s="18">
        <f>SUMPRODUCT((Transactions!P122:P2120="Active")*(Transactions!M122:M2120="INR")*(TEXT(IFERROR(DATEVALUE(Transactions!B122:B2120),Transactions!B122:B2120),"MMM-YYYY")=A122)*(Transactions!T122:T2120))</f>
        <v>53124.04577</v>
      </c>
      <c r="C121" s="18">
        <f t="shared" si="1"/>
        <v>5513236.604</v>
      </c>
      <c r="D121" s="18">
        <f t="shared" si="2"/>
        <v>-65.58402935</v>
      </c>
    </row>
    <row r="122">
      <c r="A122" s="18" t="str">
        <f>TEXT(IFERROR(DATEVALUE(Transactions!B123),Transactions!B123),"MMM-YYYY")</f>
        <v>Mar-2025</v>
      </c>
      <c r="B122" s="18">
        <f>SUMPRODUCT((Transactions!P123:P2121="Active")*(Transactions!M123:M2121="INR")*(TEXT(IFERROR(DATEVALUE(Transactions!B123:B2121),Transactions!B123:B2121),"MMM-YYYY")=A123)*(Transactions!T123:T2121))</f>
        <v>18283.156</v>
      </c>
      <c r="C122" s="18">
        <f t="shared" si="1"/>
        <v>5531519.76</v>
      </c>
      <c r="D122" s="18">
        <f t="shared" si="2"/>
        <v>-30.93628912</v>
      </c>
    </row>
    <row r="123">
      <c r="A123" s="18" t="str">
        <f>TEXT(IFERROR(DATEVALUE(Transactions!B124),Transactions!B124),"MMM-YYYY")</f>
        <v>Jul-2024</v>
      </c>
      <c r="B123" s="18">
        <f>SUMPRODUCT((Transactions!P124:P2122="Active")*(Transactions!M124:M2122="INR")*(TEXT(IFERROR(DATEVALUE(Transactions!B124:B2122),Transactions!B124:B2122),"MMM-YYYY")=A124)*(Transactions!T124:T2122))</f>
        <v>12627.026</v>
      </c>
      <c r="C123" s="18">
        <f t="shared" si="1"/>
        <v>5544146.786</v>
      </c>
      <c r="D123" s="18">
        <f t="shared" si="2"/>
        <v>44.76826135</v>
      </c>
    </row>
    <row r="124">
      <c r="A124" s="18" t="str">
        <f>TEXT(IFERROR(DATEVALUE(Transactions!B125),Transactions!B125),"MMM-YYYY")</f>
        <v>Sep-2024</v>
      </c>
      <c r="B124" s="18">
        <f>SUMPRODUCT((Transactions!P125:P2123="Active")*(Transactions!M125:M2123="INR")*(TEXT(IFERROR(DATEVALUE(Transactions!B125:B2123),Transactions!B125:B2123),"MMM-YYYY")=A125)*(Transactions!T125:T2123))</f>
        <v>18279.926</v>
      </c>
      <c r="C124" s="18">
        <f t="shared" si="1"/>
        <v>5562426.712</v>
      </c>
      <c r="D124" s="18">
        <f t="shared" si="2"/>
        <v>-100</v>
      </c>
    </row>
    <row r="125">
      <c r="A125" s="18" t="str">
        <f>TEXT(IFERROR(DATEVALUE(Transactions!B126),Transactions!B126),"MMM-YYYY")</f>
        <v>Oct-2024</v>
      </c>
      <c r="B125" s="18">
        <f>SUMPRODUCT((Transactions!P126:P2124="Active")*(Transactions!M126:M2124="INR")*(TEXT(IFERROR(DATEVALUE(Transactions!B126:B2124),Transactions!B126:B2124),"MMM-YYYY")=A126)*(Transactions!T126:T2124))</f>
        <v>0</v>
      </c>
      <c r="C125" s="18">
        <f t="shared" si="1"/>
        <v>5562426.712</v>
      </c>
      <c r="D125" s="18" t="str">
        <f t="shared" si="2"/>
        <v>N/A</v>
      </c>
    </row>
    <row r="126">
      <c r="A126" s="18" t="str">
        <f>TEXT(IFERROR(DATEVALUE(Transactions!B127),Transactions!B127),"MMM-YYYY")</f>
        <v>27-08-2024</v>
      </c>
      <c r="B126" s="18">
        <f>SUMPRODUCT((Transactions!P127:P2125="Active")*(Transactions!M127:M2125="INR")*(TEXT(IFERROR(DATEVALUE(Transactions!B127:B2125),Transactions!B127:B2125),"MMM-YYYY")=A127)*(Transactions!T127:T2125))</f>
        <v>18279.926</v>
      </c>
      <c r="C126" s="18">
        <f t="shared" si="1"/>
        <v>5580706.638</v>
      </c>
      <c r="D126" s="18">
        <f t="shared" si="2"/>
        <v>45.22385922</v>
      </c>
    </row>
    <row r="127">
      <c r="A127" s="18" t="str">
        <f>TEXT(IFERROR(DATEVALUE(Transactions!B128),Transactions!B128),"MMM-YYYY")</f>
        <v>Oct-2024</v>
      </c>
      <c r="B127" s="18">
        <f>SUMPRODUCT((Transactions!P128:P2126="Active")*(Transactions!M128:M2126="INR")*(TEXT(IFERROR(DATEVALUE(Transactions!B128:B2126),Transactions!B128:B2126),"MMM-YYYY")=A128)*(Transactions!T128:T2126))</f>
        <v>26546.814</v>
      </c>
      <c r="C127" s="18">
        <f t="shared" si="1"/>
        <v>5607253.452</v>
      </c>
      <c r="D127" s="18">
        <f t="shared" si="2"/>
        <v>-100</v>
      </c>
    </row>
    <row r="128">
      <c r="A128" s="18" t="str">
        <f>TEXT(IFERROR(DATEVALUE(Transactions!B129),Transactions!B129),"MMM-YYYY")</f>
        <v>Aug-2024</v>
      </c>
      <c r="B128" s="18">
        <f>SUMPRODUCT((Transactions!P129:P2127="Active")*(Transactions!M129:M2127="INR")*(TEXT(IFERROR(DATEVALUE(Transactions!B129:B2127),Transactions!B129:B2127),"MMM-YYYY")=A129)*(Transactions!T129:T2127))</f>
        <v>0</v>
      </c>
      <c r="C128" s="18">
        <f t="shared" si="1"/>
        <v>5607253.452</v>
      </c>
      <c r="D128" s="18" t="str">
        <f t="shared" si="2"/>
        <v>N/A</v>
      </c>
    </row>
    <row r="129">
      <c r="A129" s="18" t="str">
        <f>TEXT(IFERROR(DATEVALUE(Transactions!B130),Transactions!B130),"MMM-YYYY")</f>
        <v>Apr-2025</v>
      </c>
      <c r="B129" s="18">
        <f>SUMPRODUCT((Transactions!P130:P2128="Active")*(Transactions!M130:M2128="INR")*(TEXT(IFERROR(DATEVALUE(Transactions!B130:B2128),Transactions!B130:B2128),"MMM-YYYY")=A130)*(Transactions!T130:T2128))</f>
        <v>23875.179</v>
      </c>
      <c r="C129" s="18">
        <f t="shared" si="1"/>
        <v>5631128.631</v>
      </c>
      <c r="D129" s="18">
        <f t="shared" si="2"/>
        <v>-90.15300367</v>
      </c>
    </row>
    <row r="130">
      <c r="A130" s="18" t="str">
        <f>TEXT(IFERROR(DATEVALUE(Transactions!B131),Transactions!B131),"MMM-YYYY")</f>
        <v>Jan-2025</v>
      </c>
      <c r="B130" s="18">
        <f>SUMPRODUCT((Transactions!P131:P2129="Active")*(Transactions!M131:M2129="INR")*(TEXT(IFERROR(DATEVALUE(Transactions!B131:B2129),Transactions!B131:B2129),"MMM-YYYY")=A131)*(Transactions!T131:T2129))</f>
        <v>2350.988</v>
      </c>
      <c r="C130" s="18">
        <f t="shared" si="1"/>
        <v>5633479.619</v>
      </c>
      <c r="D130" s="18">
        <f t="shared" si="2"/>
        <v>915.5381057</v>
      </c>
    </row>
    <row r="131">
      <c r="A131" s="18" t="str">
        <f>TEXT(IFERROR(DATEVALUE(Transactions!B132),Transactions!B132),"MMM-YYYY")</f>
        <v>Oct-2024</v>
      </c>
      <c r="B131" s="18">
        <f>SUMPRODUCT((Transactions!P132:P2130="Active")*(Transactions!M132:M2130="INR")*(TEXT(IFERROR(DATEVALUE(Transactions!B132:B2130),Transactions!B132:B2130),"MMM-YYYY")=A132)*(Transactions!T132:T2130))</f>
        <v>23875.179</v>
      </c>
      <c r="C131" s="18">
        <f t="shared" si="1"/>
        <v>5657354.798</v>
      </c>
      <c r="D131" s="18">
        <f t="shared" si="2"/>
        <v>0</v>
      </c>
    </row>
    <row r="132">
      <c r="A132" s="18" t="str">
        <f>TEXT(IFERROR(DATEVALUE(Transactions!B133),Transactions!B133),"MMM-YYYY")</f>
        <v>Jan-2025</v>
      </c>
      <c r="B132" s="18">
        <f>SUMPRODUCT((Transactions!P133:P2131="Active")*(Transactions!M133:M2131="INR")*(TEXT(IFERROR(DATEVALUE(Transactions!B133:B2131),Transactions!B133:B2131),"MMM-YYYY")=A133)*(Transactions!T133:T2131))</f>
        <v>23875.179</v>
      </c>
      <c r="C132" s="18">
        <f t="shared" si="1"/>
        <v>5681229.977</v>
      </c>
      <c r="D132" s="18">
        <f t="shared" si="2"/>
        <v>109.9462616</v>
      </c>
    </row>
    <row r="133">
      <c r="A133" s="18" t="str">
        <f>TEXT(IFERROR(DATEVALUE(Transactions!B134),Transactions!B134),"MMM-YYYY")</f>
        <v>Jan-2025</v>
      </c>
      <c r="B133" s="18">
        <f>SUMPRODUCT((Transactions!P134:P2132="Active")*(Transactions!M134:M2132="INR")*(TEXT(IFERROR(DATEVALUE(Transactions!B134:B2132),Transactions!B134:B2132),"MMM-YYYY")=A134)*(Transactions!T134:T2132))</f>
        <v>50125.04577</v>
      </c>
      <c r="C133" s="18">
        <f t="shared" si="1"/>
        <v>5731355.023</v>
      </c>
      <c r="D133" s="18">
        <f t="shared" si="2"/>
        <v>-54.26212855</v>
      </c>
    </row>
    <row r="134">
      <c r="A134" s="18" t="str">
        <f>TEXT(IFERROR(DATEVALUE(Transactions!B135),Transactions!B135),"MMM-YYYY")</f>
        <v>Mar-2025</v>
      </c>
      <c r="B134" s="18">
        <f>SUMPRODUCT((Transactions!P135:P2133="Active")*(Transactions!M135:M2133="INR")*(TEXT(IFERROR(DATEVALUE(Transactions!B135:B2133),Transactions!B135:B2133),"MMM-YYYY")=A135)*(Transactions!T135:T2133))</f>
        <v>22926.129</v>
      </c>
      <c r="C134" s="18">
        <f t="shared" si="1"/>
        <v>5754281.152</v>
      </c>
      <c r="D134" s="18">
        <f t="shared" si="2"/>
        <v>-80.47497783</v>
      </c>
    </row>
    <row r="135">
      <c r="A135" s="18" t="str">
        <f>TEXT(IFERROR(DATEVALUE(Transactions!B136),Transactions!B136),"MMM-YYYY")</f>
        <v>Jan-2025</v>
      </c>
      <c r="B135" s="18">
        <f>SUMPRODUCT((Transactions!P136:P2134="Active")*(Transactions!M136:M2134="INR")*(TEXT(IFERROR(DATEVALUE(Transactions!B136:B2134),Transactions!B136:B2134),"MMM-YYYY")=A136)*(Transactions!T136:T2134))</f>
        <v>4476.33177</v>
      </c>
      <c r="C135" s="18">
        <f t="shared" si="1"/>
        <v>5758757.483</v>
      </c>
      <c r="D135" s="18">
        <f t="shared" si="2"/>
        <v>0</v>
      </c>
    </row>
    <row r="136">
      <c r="A136" s="18" t="str">
        <f>TEXT(IFERROR(DATEVALUE(Transactions!B137),Transactions!B137),"MMM-YYYY")</f>
        <v>Jun-2025</v>
      </c>
      <c r="B136" s="18">
        <f>SUMPRODUCT((Transactions!P137:P2135="Active")*(Transactions!M137:M2135="INR")*(TEXT(IFERROR(DATEVALUE(Transactions!B137:B2135),Transactions!B137:B2135),"MMM-YYYY")=A137)*(Transactions!T137:T2135))</f>
        <v>4476.33177</v>
      </c>
      <c r="C136" s="18">
        <f t="shared" si="1"/>
        <v>5763233.815</v>
      </c>
      <c r="D136" s="18">
        <f t="shared" si="2"/>
        <v>78.69989114</v>
      </c>
    </row>
    <row r="137">
      <c r="A137" s="18" t="str">
        <f>TEXT(IFERROR(DATEVALUE(Transactions!B138),Transactions!B138),"MMM-YYYY")</f>
        <v>Jun-2025</v>
      </c>
      <c r="B137" s="18">
        <f>SUMPRODUCT((Transactions!P138:P2136="Active")*(Transactions!M138:M2136="INR")*(TEXT(IFERROR(DATEVALUE(Transactions!B138:B2136),Transactions!B138:B2136),"MMM-YYYY")=A138)*(Transactions!T138:T2136))</f>
        <v>7999.2</v>
      </c>
      <c r="C137" s="18">
        <f t="shared" si="1"/>
        <v>5771233.015</v>
      </c>
      <c r="D137" s="18">
        <f t="shared" si="2"/>
        <v>20.24988749</v>
      </c>
    </row>
    <row r="138">
      <c r="A138" s="18" t="str">
        <f>TEXT(IFERROR(DATEVALUE(Transactions!B139),Transactions!B139),"MMM-YYYY")</f>
        <v>May-2025</v>
      </c>
      <c r="B138" s="18">
        <f>SUMPRODUCT((Transactions!P139:P2137="Active")*(Transactions!M139:M2137="INR")*(TEXT(IFERROR(DATEVALUE(Transactions!B139:B2137),Transactions!B139:B2137),"MMM-YYYY")=A139)*(Transactions!T139:T2137))</f>
        <v>9619.029</v>
      </c>
      <c r="C138" s="18">
        <f t="shared" si="1"/>
        <v>5780852.044</v>
      </c>
      <c r="D138" s="18">
        <f t="shared" si="2"/>
        <v>175.9822639</v>
      </c>
    </row>
    <row r="139">
      <c r="A139" s="18" t="str">
        <f>TEXT(IFERROR(DATEVALUE(Transactions!B140),Transactions!B140),"MMM-YYYY")</f>
        <v>Sep-2024</v>
      </c>
      <c r="B139" s="18">
        <f>SUMPRODUCT((Transactions!P140:P2138="Active")*(Transactions!M140:M2138="INR")*(TEXT(IFERROR(DATEVALUE(Transactions!B140:B2138),Transactions!B140:B2138),"MMM-YYYY")=A140)*(Transactions!T140:T2138))</f>
        <v>26546.814</v>
      </c>
      <c r="C139" s="18">
        <f t="shared" si="1"/>
        <v>5807398.858</v>
      </c>
      <c r="D139" s="18">
        <f t="shared" si="2"/>
        <v>-13.6388683</v>
      </c>
    </row>
    <row r="140">
      <c r="A140" s="18" t="str">
        <f>TEXT(IFERROR(DATEVALUE(Transactions!B141),Transactions!B141),"MMM-YYYY")</f>
        <v>Aug-2024</v>
      </c>
      <c r="B140" s="18">
        <f>SUMPRODUCT((Transactions!P141:P2139="Active")*(Transactions!M141:M2139="INR")*(TEXT(IFERROR(DATEVALUE(Transactions!B141:B2139),Transactions!B141:B2139),"MMM-YYYY")=A141)*(Transactions!T141:T2139))</f>
        <v>22926.129</v>
      </c>
      <c r="C140" s="18">
        <f t="shared" si="1"/>
        <v>5830324.987</v>
      </c>
      <c r="D140" s="18">
        <f t="shared" si="2"/>
        <v>-6.077397541</v>
      </c>
    </row>
    <row r="141">
      <c r="A141" s="18" t="str">
        <f>TEXT(IFERROR(DATEVALUE(Transactions!B142),Transactions!B142),"MMM-YYYY")</f>
        <v>Jan-2025</v>
      </c>
      <c r="B141" s="18">
        <f>SUMPRODUCT((Transactions!P142:P2140="Active")*(Transactions!M142:M2140="INR")*(TEXT(IFERROR(DATEVALUE(Transactions!B142:B2140),Transactions!B142:B2140),"MMM-YYYY")=A142)*(Transactions!T142:T2140))</f>
        <v>21532.817</v>
      </c>
      <c r="C141" s="18">
        <f t="shared" si="1"/>
        <v>5851857.804</v>
      </c>
      <c r="D141" s="18">
        <f t="shared" si="2"/>
        <v>-100</v>
      </c>
    </row>
    <row r="142">
      <c r="A142" s="18" t="str">
        <f>TEXT(IFERROR(DATEVALUE(Transactions!B143),Transactions!B143),"MMM-YYYY")</f>
        <v>Aug-2024</v>
      </c>
      <c r="B142" s="18">
        <f>SUMPRODUCT((Transactions!P143:P2141="Active")*(Transactions!M143:M2141="INR")*(TEXT(IFERROR(DATEVALUE(Transactions!B143:B2141),Transactions!B143:B2141),"MMM-YYYY")=A143)*(Transactions!T143:T2141))</f>
        <v>0</v>
      </c>
      <c r="C142" s="18">
        <f t="shared" si="1"/>
        <v>5851857.804</v>
      </c>
      <c r="D142" s="18" t="str">
        <f t="shared" si="2"/>
        <v>N/A</v>
      </c>
    </row>
    <row r="143">
      <c r="A143" s="18" t="str">
        <f>TEXT(IFERROR(DATEVALUE(Transactions!B144),Transactions!B144),"MMM-YYYY")</f>
        <v>Dec-2024</v>
      </c>
      <c r="B143" s="18">
        <f>SUMPRODUCT((Transactions!P144:P2142="Active")*(Transactions!M144:M2142="INR")*(TEXT(IFERROR(DATEVALUE(Transactions!B144:B2142),Transactions!B144:B2142),"MMM-YYYY")=A144)*(Transactions!T144:T2142))</f>
        <v>9619.029</v>
      </c>
      <c r="C143" s="18">
        <f t="shared" si="1"/>
        <v>5861476.833</v>
      </c>
      <c r="D143" s="18">
        <f t="shared" si="2"/>
        <v>-16.83983903</v>
      </c>
    </row>
    <row r="144">
      <c r="A144" s="18" t="str">
        <f>TEXT(IFERROR(DATEVALUE(Transactions!B145),Transactions!B145),"MMM-YYYY")</f>
        <v>Sep-2024</v>
      </c>
      <c r="B144" s="18">
        <f>SUMPRODUCT((Transactions!P145:P2143="Active")*(Transactions!M145:M2143="INR")*(TEXT(IFERROR(DATEVALUE(Transactions!B145:B2143),Transactions!B145:B2143),"MMM-YYYY")=A145)*(Transactions!T145:T2143))</f>
        <v>7999.2</v>
      </c>
      <c r="C144" s="18">
        <f t="shared" si="1"/>
        <v>5869476.033</v>
      </c>
      <c r="D144" s="18">
        <f t="shared" si="2"/>
        <v>-100</v>
      </c>
    </row>
    <row r="145">
      <c r="A145" s="18" t="str">
        <f>TEXT(IFERROR(DATEVALUE(Transactions!B146),Transactions!B146),"MMM-YYYY")</f>
        <v>May-2025</v>
      </c>
      <c r="B145" s="18">
        <f>SUMPRODUCT((Transactions!P146:P2144="Active")*(Transactions!M146:M2144="INR")*(TEXT(IFERROR(DATEVALUE(Transactions!B146:B2144),Transactions!B146:B2144),"MMM-YYYY")=A146)*(Transactions!T146:T2144))</f>
        <v>0</v>
      </c>
      <c r="C145" s="18">
        <f t="shared" si="1"/>
        <v>5869476.033</v>
      </c>
      <c r="D145" s="18" t="str">
        <f t="shared" si="2"/>
        <v>N/A</v>
      </c>
    </row>
    <row r="146">
      <c r="A146" s="18" t="str">
        <f>TEXT(IFERROR(DATEVALUE(Transactions!B147),Transactions!B147),"MMM-YYYY")</f>
        <v>Apr-2025</v>
      </c>
      <c r="B146" s="18">
        <f>SUMPRODUCT((Transactions!P147:P2145="Active")*(Transactions!M147:M2145="INR")*(TEXT(IFERROR(DATEVALUE(Transactions!B147:B2145),Transactions!B147:B2145),"MMM-YYYY")=A147)*(Transactions!T147:T2145))</f>
        <v>1680.379</v>
      </c>
      <c r="C146" s="18">
        <f t="shared" si="1"/>
        <v>5871156.412</v>
      </c>
      <c r="D146" s="18">
        <f t="shared" si="2"/>
        <v>-100</v>
      </c>
    </row>
    <row r="147">
      <c r="A147" s="18" t="str">
        <f>TEXT(IFERROR(DATEVALUE(Transactions!B148),Transactions!B148),"MMM-YYYY")</f>
        <v>Jan-2025</v>
      </c>
      <c r="B147" s="18">
        <f>SUMPRODUCT((Transactions!P148:P2146="Active")*(Transactions!M148:M2146="INR")*(TEXT(IFERROR(DATEVALUE(Transactions!B148:B2146),Transactions!B148:B2146),"MMM-YYYY")=A148)*(Transactions!T148:T2146))</f>
        <v>0</v>
      </c>
      <c r="C147" s="18">
        <f t="shared" si="1"/>
        <v>5871156.412</v>
      </c>
      <c r="D147" s="18" t="str">
        <f t="shared" si="2"/>
        <v>N/A</v>
      </c>
    </row>
    <row r="148">
      <c r="A148" s="18" t="str">
        <f>TEXT(IFERROR(DATEVALUE(Transactions!B149),Transactions!B149),"MMM-YYYY")</f>
        <v>May-2025</v>
      </c>
      <c r="B148" s="18">
        <f>SUMPRODUCT((Transactions!P149:P2147="Active")*(Transactions!M149:M2147="INR")*(TEXT(IFERROR(DATEVALUE(Transactions!B149:B2147),Transactions!B149:B2147),"MMM-YYYY")=A149)*(Transactions!T149:T2147))</f>
        <v>5128.04577</v>
      </c>
      <c r="C148" s="18">
        <f t="shared" si="1"/>
        <v>5876284.458</v>
      </c>
      <c r="D148" s="18">
        <f t="shared" si="2"/>
        <v>-78.16168088</v>
      </c>
    </row>
    <row r="149">
      <c r="A149" s="18" t="str">
        <f>TEXT(IFERROR(DATEVALUE(Transactions!B150),Transactions!B150),"MMM-YYYY")</f>
        <v>Mar-2025</v>
      </c>
      <c r="B149" s="18">
        <f>SUMPRODUCT((Transactions!P150:P2148="Active")*(Transactions!M150:M2148="INR")*(TEXT(IFERROR(DATEVALUE(Transactions!B150:B2148),Transactions!B150:B2148),"MMM-YYYY")=A150)*(Transactions!T150:T2148))</f>
        <v>1119.879</v>
      </c>
      <c r="C149" s="18">
        <f t="shared" si="1"/>
        <v>5877404.337</v>
      </c>
      <c r="D149" s="18">
        <f t="shared" si="2"/>
        <v>400.4004004</v>
      </c>
    </row>
    <row r="150">
      <c r="A150" s="18" t="str">
        <f>TEXT(IFERROR(DATEVALUE(Transactions!B151),Transactions!B151),"MMM-YYYY")</f>
        <v>Sep-2024</v>
      </c>
      <c r="B150" s="18">
        <f>SUMPRODUCT((Transactions!P151:P2149="Active")*(Transactions!M151:M2149="INR")*(TEXT(IFERROR(DATEVALUE(Transactions!B151:B2149),Transactions!B151:B2149),"MMM-YYYY")=A151)*(Transactions!T151:T2149))</f>
        <v>5603.879</v>
      </c>
      <c r="C150" s="18">
        <f t="shared" si="1"/>
        <v>5883008.216</v>
      </c>
      <c r="D150" s="18">
        <f t="shared" si="2"/>
        <v>-58.04713128</v>
      </c>
    </row>
    <row r="151">
      <c r="A151" s="18" t="str">
        <f>TEXT(IFERROR(DATEVALUE(Transactions!B152),Transactions!B152),"MMM-YYYY")</f>
        <v>Aug-2024</v>
      </c>
      <c r="B151" s="18">
        <f>SUMPRODUCT((Transactions!P152:P2150="Active")*(Transactions!M152:M2150="INR")*(TEXT(IFERROR(DATEVALUE(Transactions!B152:B2150),Transactions!B152:B2150),"MMM-YYYY")=A152)*(Transactions!T152:T2150))</f>
        <v>2350.988</v>
      </c>
      <c r="C151" s="18">
        <f t="shared" si="1"/>
        <v>5885359.204</v>
      </c>
      <c r="D151" s="18">
        <f t="shared" si="2"/>
        <v>-24.87555147</v>
      </c>
    </row>
    <row r="152">
      <c r="A152" s="18" t="str">
        <f>TEXT(IFERROR(DATEVALUE(Transactions!B153),Transactions!B153),"MMM-YYYY")</f>
        <v>Oct-2024</v>
      </c>
      <c r="B152" s="18">
        <f>SUMPRODUCT((Transactions!P153:P2151="Active")*(Transactions!M153:M2151="INR")*(TEXT(IFERROR(DATEVALUE(Transactions!B153:B2151),Transactions!B153:B2151),"MMM-YYYY")=A153)*(Transactions!T153:T2151))</f>
        <v>1766.16677</v>
      </c>
      <c r="C152" s="18">
        <f t="shared" si="1"/>
        <v>5887125.371</v>
      </c>
      <c r="D152" s="18">
        <f t="shared" si="2"/>
        <v>100.0667111</v>
      </c>
    </row>
    <row r="153">
      <c r="A153" s="18" t="str">
        <f>TEXT(IFERROR(DATEVALUE(Transactions!B154),Transactions!B154),"MMM-YYYY")</f>
        <v>Mar-2025</v>
      </c>
      <c r="B153" s="18">
        <f>SUMPRODUCT((Transactions!P154:P2152="Active")*(Transactions!M154:M2152="INR")*(TEXT(IFERROR(DATEVALUE(Transactions!B154:B2152),Transactions!B154:B2152),"MMM-YYYY")=A154)*(Transactions!T154:T2152))</f>
        <v>3533.51177</v>
      </c>
      <c r="C153" s="18">
        <f t="shared" si="1"/>
        <v>5890658.882</v>
      </c>
      <c r="D153" s="18">
        <f t="shared" si="2"/>
        <v>167.129604</v>
      </c>
    </row>
    <row r="154">
      <c r="A154" s="18" t="str">
        <f>TEXT(IFERROR(DATEVALUE(Transactions!B155),Transactions!B155),"MMM-YYYY")</f>
        <v>Jun-2025</v>
      </c>
      <c r="B154" s="18">
        <f>SUMPRODUCT((Transactions!P155:P2153="Active")*(Transactions!M155:M2153="INR")*(TEXT(IFERROR(DATEVALUE(Transactions!B155:B2153),Transactions!B155:B2153),"MMM-YYYY")=A155)*(Transactions!T155:T2153))</f>
        <v>9439.056</v>
      </c>
      <c r="C154" s="18">
        <f t="shared" si="1"/>
        <v>5900097.938</v>
      </c>
      <c r="D154" s="18">
        <f t="shared" si="2"/>
        <v>-75.0929754</v>
      </c>
    </row>
    <row r="155">
      <c r="A155" s="18" t="str">
        <f>TEXT(IFERROR(DATEVALUE(Transactions!B156),Transactions!B156),"MMM-YYYY")</f>
        <v>Jul-2024</v>
      </c>
      <c r="B155" s="18">
        <f>SUMPRODUCT((Transactions!P156:P2154="Active")*(Transactions!M156:M2154="INR")*(TEXT(IFERROR(DATEVALUE(Transactions!B156:B2154),Transactions!B156:B2154),"MMM-YYYY")=A156)*(Transactions!T156:T2154))</f>
        <v>2350.988</v>
      </c>
      <c r="C155" s="18">
        <f t="shared" si="1"/>
        <v>5902448.926</v>
      </c>
      <c r="D155" s="18">
        <f t="shared" si="2"/>
        <v>0</v>
      </c>
    </row>
    <row r="156">
      <c r="A156" s="18" t="str">
        <f>TEXT(IFERROR(DATEVALUE(Transactions!B157),Transactions!B157),"MMM-YYYY")</f>
        <v>Oct-2024</v>
      </c>
      <c r="B156" s="18">
        <f>SUMPRODUCT((Transactions!P157:P2155="Active")*(Transactions!M157:M2155="INR")*(TEXT(IFERROR(DATEVALUE(Transactions!B157:B2155),Transactions!B157:B2155),"MMM-YYYY")=A157)*(Transactions!T157:T2155))</f>
        <v>2350.988</v>
      </c>
      <c r="C156" s="18">
        <f t="shared" si="1"/>
        <v>5904799.914</v>
      </c>
      <c r="D156" s="18">
        <f t="shared" si="2"/>
        <v>-100</v>
      </c>
    </row>
    <row r="157">
      <c r="A157" s="18" t="str">
        <f>TEXT(IFERROR(DATEVALUE(Transactions!B158),Transactions!B158),"MMM-YYYY")</f>
        <v>Oct-2024</v>
      </c>
      <c r="B157" s="18">
        <f>SUMPRODUCT((Transactions!P158:P2156="Active")*(Transactions!M158:M2156="INR")*(TEXT(IFERROR(DATEVALUE(Transactions!B158:B2156),Transactions!B158:B2156),"MMM-YYYY")=A158)*(Transactions!T158:T2156))</f>
        <v>0</v>
      </c>
      <c r="C157" s="18">
        <f t="shared" si="1"/>
        <v>5904799.914</v>
      </c>
      <c r="D157" s="18" t="str">
        <f t="shared" si="2"/>
        <v>N/A</v>
      </c>
    </row>
    <row r="158">
      <c r="A158" s="18" t="str">
        <f>TEXT(IFERROR(DATEVALUE(Transactions!B159),Transactions!B159),"MMM-YYYY")</f>
        <v>May-2025</v>
      </c>
      <c r="B158" s="18">
        <f>SUMPRODUCT((Transactions!P159:P2157="Active")*(Transactions!M159:M2157="INR")*(TEXT(IFERROR(DATEVALUE(Transactions!B159:B2157),Transactions!B159:B2157),"MMM-YYYY")=A159)*(Transactions!T159:T2157))</f>
        <v>0</v>
      </c>
      <c r="C158" s="18">
        <f t="shared" si="1"/>
        <v>5904799.914</v>
      </c>
      <c r="D158" s="18" t="str">
        <f t="shared" si="2"/>
        <v>N/A</v>
      </c>
    </row>
    <row r="159">
      <c r="A159" s="18" t="str">
        <f>TEXT(IFERROR(DATEVALUE(Transactions!B160),Transactions!B160),"MMM-YYYY")</f>
        <v>Mar-2025</v>
      </c>
      <c r="B159" s="18">
        <f>SUMPRODUCT((Transactions!P160:P2158="Active")*(Transactions!M160:M2158="INR")*(TEXT(IFERROR(DATEVALUE(Transactions!B160:B2158),Transactions!B160:B2158),"MMM-YYYY")=A160)*(Transactions!T160:T2158))</f>
        <v>0</v>
      </c>
      <c r="C159" s="18">
        <f t="shared" si="1"/>
        <v>5904799.914</v>
      </c>
      <c r="D159" s="18" t="str">
        <f t="shared" si="2"/>
        <v>N/A</v>
      </c>
    </row>
    <row r="160">
      <c r="A160" s="18" t="str">
        <f>TEXT(IFERROR(DATEVALUE(Transactions!B161),Transactions!B161),"MMM-YYYY")</f>
        <v>Jun-2025</v>
      </c>
      <c r="B160" s="18">
        <f>SUMPRODUCT((Transactions!P161:P2159="Active")*(Transactions!M161:M2159="INR")*(TEXT(IFERROR(DATEVALUE(Transactions!B161:B2159),Transactions!B161:B2159),"MMM-YYYY")=A161)*(Transactions!T161:T2159))</f>
        <v>0</v>
      </c>
      <c r="C160" s="18">
        <f t="shared" si="1"/>
        <v>5904799.914</v>
      </c>
      <c r="D160" s="18" t="str">
        <f t="shared" si="2"/>
        <v>N/A</v>
      </c>
    </row>
    <row r="161">
      <c r="A161" s="18" t="str">
        <f>TEXT(IFERROR(DATEVALUE(Transactions!B162),Transactions!B162),"MMM-YYYY")</f>
        <v>Aug-2024</v>
      </c>
      <c r="B161" s="18">
        <f>SUMPRODUCT((Transactions!P162:P2160="Active")*(Transactions!M162:M2160="INR")*(TEXT(IFERROR(DATEVALUE(Transactions!B162:B2160),Transactions!B162:B2160),"MMM-YYYY")=A162)*(Transactions!T162:T2160))</f>
        <v>8999.1</v>
      </c>
      <c r="C161" s="18">
        <f t="shared" si="1"/>
        <v>5913799.014</v>
      </c>
      <c r="D161" s="18">
        <f t="shared" si="2"/>
        <v>-100</v>
      </c>
    </row>
    <row r="162">
      <c r="A162" s="18" t="str">
        <f>TEXT(IFERROR(DATEVALUE(Transactions!B163),Transactions!B163),"MMM-YYYY")</f>
        <v>Sep-2025</v>
      </c>
      <c r="B162" s="18">
        <f>SUMPRODUCT((Transactions!P163:P2161="Active")*(Transactions!M163:M2161="INR")*(TEXT(IFERROR(DATEVALUE(Transactions!B163:B2161),Transactions!B163:B2161),"MMM-YYYY")=A163)*(Transactions!T163:T2161))</f>
        <v>0</v>
      </c>
      <c r="C162" s="18">
        <f t="shared" si="1"/>
        <v>5913799.014</v>
      </c>
      <c r="D162" s="18" t="str">
        <f t="shared" si="2"/>
        <v>N/A</v>
      </c>
    </row>
    <row r="163">
      <c r="A163" s="18" t="str">
        <f>TEXT(IFERROR(DATEVALUE(Transactions!B164),Transactions!B164),"MMM-YYYY")</f>
        <v>Mar-2025</v>
      </c>
      <c r="B163" s="18">
        <f>SUMPRODUCT((Transactions!P164:P2162="Active")*(Transactions!M164:M2162="INR")*(TEXT(IFERROR(DATEVALUE(Transactions!B164:B2162),Transactions!B164:B2162),"MMM-YYYY")=A164)*(Transactions!T164:T2162))</f>
        <v>0</v>
      </c>
      <c r="C163" s="18">
        <f t="shared" si="1"/>
        <v>5913799.014</v>
      </c>
      <c r="D163" s="18" t="str">
        <f t="shared" si="2"/>
        <v>N/A</v>
      </c>
    </row>
  </sheetData>
  <drawing r:id="rId1"/>
</worksheet>
</file>