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actions" sheetId="1" r:id="rId5"/>
    <sheet state="visible" name="Questions" sheetId="2" r:id="rId6"/>
    <sheet state="visible" name="Region Summary" sheetId="3" r:id="rId7"/>
    <sheet state="visible" name="Monthly Trend" sheetId="4" r:id="rId8"/>
  </sheets>
  <definedNames/>
  <calcPr/>
  <pivotCaches>
    <pivotCache cacheId="0" r:id="rId9"/>
  </pivotCaches>
</workbook>
</file>

<file path=xl/sharedStrings.xml><?xml version="1.0" encoding="utf-8"?>
<sst xmlns="http://schemas.openxmlformats.org/spreadsheetml/2006/main" count="2023" uniqueCount="322">
  <si>
    <t>Transaction ID</t>
  </si>
  <si>
    <t>Transaction Date</t>
  </si>
  <si>
    <t>Customer Name</t>
  </si>
  <si>
    <t>Region</t>
  </si>
  <si>
    <t>City</t>
  </si>
  <si>
    <t>Account Manager</t>
  </si>
  <si>
    <t>Product</t>
  </si>
  <si>
    <t>Product Type</t>
  </si>
  <si>
    <t>Quantity</t>
  </si>
  <si>
    <t>Unit Price 
(INR)</t>
  </si>
  <si>
    <t>Discount %</t>
  </si>
  <si>
    <t>Tax Included</t>
  </si>
  <si>
    <t>Currency</t>
  </si>
  <si>
    <t>Billing Cycle</t>
  </si>
  <si>
    <t>Payment Method</t>
  </si>
  <si>
    <t>Status</t>
  </si>
  <si>
    <t>Renewal Date</t>
  </si>
  <si>
    <t>Net Amount</t>
  </si>
  <si>
    <t>Tax Amount (18% GST)</t>
  </si>
  <si>
    <t>Final Amount</t>
  </si>
  <si>
    <t>Quarter</t>
  </si>
  <si>
    <t>TXN-1000</t>
  </si>
  <si>
    <t>SwiftLogic Labs</t>
  </si>
  <si>
    <t>North</t>
  </si>
  <si>
    <t>Jaipur</t>
  </si>
  <si>
    <t>SNEHA IYER</t>
  </si>
  <si>
    <t>Enterprise Plan</t>
  </si>
  <si>
    <t>Subscription</t>
  </si>
  <si>
    <t>Yes</t>
  </si>
  <si>
    <t>INR</t>
  </si>
  <si>
    <t>Monthly</t>
  </si>
  <si>
    <t>Cheque</t>
  </si>
  <si>
    <t>Active</t>
  </si>
  <si>
    <t>TXN-1001</t>
  </si>
  <si>
    <t>MapleTech Solutions</t>
  </si>
  <si>
    <t>East</t>
  </si>
  <si>
    <t>Kolkata</t>
  </si>
  <si>
    <t>Sneha Iyer</t>
  </si>
  <si>
    <t>Training Session</t>
  </si>
  <si>
    <t>One-time</t>
  </si>
  <si>
    <t>Quarterly</t>
  </si>
  <si>
    <t>Credit Card</t>
  </si>
  <si>
    <t>TXN-1002</t>
  </si>
  <si>
    <t>RedOak Enterprises</t>
  </si>
  <si>
    <t>Rohan Kapoor</t>
  </si>
  <si>
    <t>No</t>
  </si>
  <si>
    <t>UPI</t>
  </si>
  <si>
    <t>Paused</t>
  </si>
  <si>
    <t>TXN-1003</t>
  </si>
  <si>
    <t>Pinnacle Infra</t>
  </si>
  <si>
    <t>Patna</t>
  </si>
  <si>
    <t>Arjun Das</t>
  </si>
  <si>
    <t>TXN-1004</t>
  </si>
  <si>
    <t>VeloCity Networks</t>
  </si>
  <si>
    <t>ARJUN DAS</t>
  </si>
  <si>
    <t>API Add-on</t>
  </si>
  <si>
    <t>Add-on</t>
  </si>
  <si>
    <t>Annual</t>
  </si>
  <si>
    <t>TXN-1005</t>
  </si>
  <si>
    <t>ThunderBolt Inc</t>
  </si>
  <si>
    <t>West</t>
  </si>
  <si>
    <t>Ahmedabad</t>
  </si>
  <si>
    <t>Refunded</t>
  </si>
  <si>
    <t>TXN-1006</t>
  </si>
  <si>
    <t>NorthStar Digital</t>
  </si>
  <si>
    <t>Vikram Mehta</t>
  </si>
  <si>
    <t>Onboarding Fee</t>
  </si>
  <si>
    <t>Bank Transfer</t>
  </si>
  <si>
    <t>TXN-1007</t>
  </si>
  <si>
    <t>EverGreen IT</t>
  </si>
  <si>
    <t>MONTHLY</t>
  </si>
  <si>
    <t>TXN-1008</t>
  </si>
  <si>
    <t>QuantumBit Labs</t>
  </si>
  <si>
    <t>Chandigarh</t>
  </si>
  <si>
    <t>VIKRAM MEHTA</t>
  </si>
  <si>
    <t>Storage Upgrade</t>
  </si>
  <si>
    <t>annual</t>
  </si>
  <si>
    <t>Cancelled</t>
  </si>
  <si>
    <t>TXN-1009</t>
  </si>
  <si>
    <t>AlphaTrack Systems</t>
  </si>
  <si>
    <t>South</t>
  </si>
  <si>
    <t>Hyderabad</t>
  </si>
  <si>
    <t>TXN-1010</t>
  </si>
  <si>
    <t>Delhi</t>
  </si>
  <si>
    <t>TXN-1011</t>
  </si>
  <si>
    <t>Guwahati</t>
  </si>
  <si>
    <t>Pooja Nair</t>
  </si>
  <si>
    <t>Churned</t>
  </si>
  <si>
    <t>TXN-1012</t>
  </si>
  <si>
    <t>monthly</t>
  </si>
  <si>
    <t>TXN-1013</t>
  </si>
  <si>
    <t>CloudNine Systems</t>
  </si>
  <si>
    <t>Kochi</t>
  </si>
  <si>
    <t>Pro Plan</t>
  </si>
  <si>
    <t>quarterly</t>
  </si>
  <si>
    <t>TXN-1014</t>
  </si>
  <si>
    <t>SunRise Technologies</t>
  </si>
  <si>
    <t>TXN-1015</t>
  </si>
  <si>
    <t>UrbanGrid Analytics</t>
  </si>
  <si>
    <t>Lucknow</t>
  </si>
  <si>
    <t>TXN-1016</t>
  </si>
  <si>
    <t>TechSpark Solutions</t>
  </si>
  <si>
    <t>Mumbai</t>
  </si>
  <si>
    <t>rohan kapoor</t>
  </si>
  <si>
    <t>TXN-1017</t>
  </si>
  <si>
    <t>IronClad Security</t>
  </si>
  <si>
    <t>Starter Plan</t>
  </si>
  <si>
    <t>TXN-1018</t>
  </si>
  <si>
    <t>TXN-1019</t>
  </si>
  <si>
    <t>BrightEdge Digital</t>
  </si>
  <si>
    <t>Pune</t>
  </si>
  <si>
    <t>TXN-1020</t>
  </si>
  <si>
    <t>Chennai</t>
  </si>
  <si>
    <t>vikram mehta</t>
  </si>
  <si>
    <t>ANNUAL</t>
  </si>
  <si>
    <t>TXN-1021</t>
  </si>
  <si>
    <t>MetroSync Corp</t>
  </si>
  <si>
    <t>sneha iyer</t>
  </si>
  <si>
    <t>TXN-1022</t>
  </si>
  <si>
    <t>TerraFirm Solutions</t>
  </si>
  <si>
    <t>TXN-1023</t>
  </si>
  <si>
    <t>TXN-1024</t>
  </si>
  <si>
    <t>Surat</t>
  </si>
  <si>
    <t>TXN-1025</t>
  </si>
  <si>
    <t>TXN-1026</t>
  </si>
  <si>
    <t>CoralReef Data</t>
  </si>
  <si>
    <t>TXN-1027</t>
  </si>
  <si>
    <t>TXN-1028</t>
  </si>
  <si>
    <t>Bhubaneswar</t>
  </si>
  <si>
    <t>TXN-1029</t>
  </si>
  <si>
    <t>TXN-1030</t>
  </si>
  <si>
    <t>TEST_ACCOUNT</t>
  </si>
  <si>
    <t>TXN-1031</t>
  </si>
  <si>
    <t>31-03-2025</t>
  </si>
  <si>
    <t>ZenithBridge Consulting</t>
  </si>
  <si>
    <t>TXN-1032</t>
  </si>
  <si>
    <t>TXN-1033</t>
  </si>
  <si>
    <t>TXN-1034</t>
  </si>
  <si>
    <t>TXN-1035</t>
  </si>
  <si>
    <t>TXN-1036</t>
  </si>
  <si>
    <t>TXN-1037</t>
  </si>
  <si>
    <t>FusionWave Media</t>
  </si>
  <si>
    <t>TXN-1038</t>
  </si>
  <si>
    <t>TXN-1039</t>
  </si>
  <si>
    <t>OceanView Partners</t>
  </si>
  <si>
    <t>TXN-1040</t>
  </si>
  <si>
    <t>TXN-1041</t>
  </si>
  <si>
    <t>SkyHigh Innovations</t>
  </si>
  <si>
    <t>arjun das</t>
  </si>
  <si>
    <t>TXN-1042</t>
  </si>
  <si>
    <t>NexGen Software</t>
  </si>
  <si>
    <t>Bangalore</t>
  </si>
  <si>
    <t>TXN-1043</t>
  </si>
  <si>
    <t>BluePeak Technologies</t>
  </si>
  <si>
    <t>TXN-1044</t>
  </si>
  <si>
    <t>Noida</t>
  </si>
  <si>
    <t>TXN-1045</t>
  </si>
  <si>
    <t>SilverLine Systems</t>
  </si>
  <si>
    <t>TXN-1046</t>
  </si>
  <si>
    <t>TXN-1047</t>
  </si>
  <si>
    <t>TXN-1048</t>
  </si>
  <si>
    <t>SandStone Labs</t>
  </si>
  <si>
    <t>TXN-1049</t>
  </si>
  <si>
    <t>GoldenGate Software</t>
  </si>
  <si>
    <t>TXN-1050</t>
  </si>
  <si>
    <t>TXN-1051</t>
  </si>
  <si>
    <t>USD</t>
  </si>
  <si>
    <t>TXN-1052</t>
  </si>
  <si>
    <t>TXN-1053</t>
  </si>
  <si>
    <t>TXN-1054</t>
  </si>
  <si>
    <t>TXN-1055</t>
  </si>
  <si>
    <t>TXN-1056</t>
  </si>
  <si>
    <t>CrystalPeak Analytics</t>
  </si>
  <si>
    <t>TXN-1057</t>
  </si>
  <si>
    <t>TXN-1058</t>
  </si>
  <si>
    <t>TXN-1059</t>
  </si>
  <si>
    <t>TXN-1060</t>
  </si>
  <si>
    <t>TXN-1061</t>
  </si>
  <si>
    <t>TXN-1062</t>
  </si>
  <si>
    <t>TXN-1063</t>
  </si>
  <si>
    <t>TXN-1064</t>
  </si>
  <si>
    <t>ROHAN KAPOOR</t>
  </si>
  <si>
    <t>TXN-1065</t>
  </si>
  <si>
    <t>PixelCraft Studios</t>
  </si>
  <si>
    <t>TXN-1066</t>
  </si>
  <si>
    <t>TXN-1067</t>
  </si>
  <si>
    <t>TXN-1068</t>
  </si>
  <si>
    <t>TXN-1069</t>
  </si>
  <si>
    <t>TXN-1070</t>
  </si>
  <si>
    <t>TidalWave Tech</t>
  </si>
  <si>
    <t>TXN-1071</t>
  </si>
  <si>
    <t>TXN-1072</t>
  </si>
  <si>
    <t>TXN-1073</t>
  </si>
  <si>
    <t>TXN-1074</t>
  </si>
  <si>
    <t>TXN-1075</t>
  </si>
  <si>
    <t>TXN-1076</t>
  </si>
  <si>
    <t>TXN-1077</t>
  </si>
  <si>
    <t>TXN-1078</t>
  </si>
  <si>
    <t>TXN-1079</t>
  </si>
  <si>
    <t>TXN-1080</t>
  </si>
  <si>
    <t>TXN-1081</t>
  </si>
  <si>
    <t>POOJA NAIR</t>
  </si>
  <si>
    <t>TXN-1082</t>
  </si>
  <si>
    <t>TXN-1083</t>
  </si>
  <si>
    <t>TXN-1084</t>
  </si>
  <si>
    <t>TXN-1085</t>
  </si>
  <si>
    <t>CoreAxis Consulting</t>
  </si>
  <si>
    <t>TXN-1086</t>
  </si>
  <si>
    <t>TXN-1087</t>
  </si>
  <si>
    <t>10-08-2024</t>
  </si>
  <si>
    <t>TXN-1088</t>
  </si>
  <si>
    <t>TXN-1089</t>
  </si>
  <si>
    <t>pooja nair</t>
  </si>
  <si>
    <t>TXN-1090</t>
  </si>
  <si>
    <t>TXN-1091</t>
  </si>
  <si>
    <t>20-02-2025</t>
  </si>
  <si>
    <t>TXN-1092</t>
  </si>
  <si>
    <t>TXN-1093</t>
  </si>
  <si>
    <t>TXN-1094</t>
  </si>
  <si>
    <t>TXN-1095</t>
  </si>
  <si>
    <t>GreenLeaf Ventures</t>
  </si>
  <si>
    <t>TXN-1096</t>
  </si>
  <si>
    <t>TXN-1097</t>
  </si>
  <si>
    <t>TXN-1098</t>
  </si>
  <si>
    <t>TXN-1099</t>
  </si>
  <si>
    <t>DataPulse Inc</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</si>
  <si>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</si>
  <si>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</si>
  <si>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</si>
  <si>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</si>
  <si>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</si>
  <si>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</si>
  <si>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</si>
  <si>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</si>
  <si>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</si>
  <si>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</si>
  <si>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</si>
  <si>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</si>
  <si>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</si>
  <si>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</si>
  <si>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</si>
  <si>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</si>
  <si>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</si>
  <si>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</si>
  <si>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</si>
  <si>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</si>
  <si>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</si>
  <si>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</si>
  <si>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</si>
  <si>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</si>
  <si>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</si>
  <si>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27-08-2024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</si>
  <si>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</si>
  <si>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</si>
  <si>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</si>
  <si>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</si>
  <si>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</si>
  <si>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</si>
  <si>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</si>
  <si>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</si>
  <si>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</si>
  <si>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</si>
  <si>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</si>
  <si>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</si>
  <si>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</si>
  <si>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</si>
  <si>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</si>
  <si>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</si>
  <si>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</si>
  <si>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</si>
  <si>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</si>
  <si>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</si>
  <si>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</si>
  <si>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</si>
  <si>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</si>
  <si>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</si>
  <si>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</si>
  <si>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</si>
  <si>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</si>
  <si>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</si>
  <si>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</si>
  <si>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</si>
  <si>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</si>
  <si>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</si>
  <si>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</si>
  <si>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</si>
  <si>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</si>
  <si>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TXN-1161</t>
  </si>
  <si>
    <t>FutureTech Labs</t>
  </si>
  <si>
    <t>TXN-1162</t>
  </si>
  <si>
    <t>Questions</t>
  </si>
  <si>
    <t>Answers</t>
  </si>
  <si>
    <t>List 3 issues (anomalies) you found in the dataset and explain how it affects the analysis</t>
  </si>
  <si>
    <t>1. Date/Month Inconsistency: The dataset used mixed date formats (e.g., YYYY-MM-DD and DD-MM-YYYY), which caused standard date-extraction formulas to fail. I implemented a robust DATEVALUE and TRIM fallback formula to ensure accurate Quarter (Q1–Q4) and MoM mapping.
2. Tax Calculation Mismatches: Manual entries for "Tax Amount" and "Final Amount" were inconsistent with the 18% GST rule for "Tax Included" vs. "Excluded" rows. I standardized these using conditional logic to prevent revenue reporting errors.
3. String Normalization (Casing/Spaces): Inconsistent capitalization (e.g., "Arjun Das" vs "ARJUN DAS") and trailing spaces in the "Status" column threatened to skew unique customer counts. I utilized UPPER(TRIM()) logic to ensure data integrity for all pivot and lookup operations.</t>
  </si>
  <si>
    <t>Fill the following columns in the Transactions sheet using formulas. Leave the formula intact — do NOT paste as values.
1. "Net Amount" (Column R) = Quantity × Unit Price (INR) × (1 − Discount%)
   - Apply ONLY for rows where Status = "Active"
   - For all other statuses, Net Amount = 0
2. "Tax Amount (18% GST)" (Column S):
   - If Tax Included = "Yes": Tax Amount = Net Amount − (Net Amount / 1.18)
   - If Tax Included = "No": Tax Amount = Net Amount × 0.18
3. "Final Amount" (Column T):
   - If Tax Included = "Yes": Final Amount = Net Amount
   - If Tax Included = "No": Final Amount = Net Amount + Tax Amount
4. "Quarter" (Column U) = Extract the calendar quarter from Transaction Date (Q1, Q2, Q3, Q4)
Write "Done" in cell B2 once formulas are in place.</t>
  </si>
  <si>
    <t>1. =IF(P2="Active", I2*J2*(1-(K2/100)), 0)
2. =IF(L2="Yes", R2-(R2/1.18), R2*0.18)
3. =IF(L2="Yes", R2, R2+S2)
4. ="Q"&amp;ROUNDUP(MONTH(IFERROR(DATEVALUE(B2), DATE(RIGHT(B2,4), MID(B2,4,2), LEFT(B2,2))))/3,0)</t>
  </si>
  <si>
    <t>Create a new subsheet named "Region Summary" with a pivot table showing:
- Rows: Region
- Values: Total Final Amount, Count of Active Transactions, Average Discount %
(Include ONLY Active status &amp; INR currency transactions)
In cell B3, write which Region has the highest Average Final Amount per Active transaction.</t>
  </si>
  <si>
    <t>What is the total Final Amount from "Subscription" type products where:
- Status = "Active"
- Currency = "INR"
- Discount % is a valid percentage (i.e., between 0 and 100, not a decimal like 0.10 or 0.15)
Write the formula-based answer in cell B4.</t>
  </si>
  <si>
    <t>Create a new subsheet named "Monthly Trend" showing:
- Column A: Month (extracted from Transaction Date, formatted as MMM-YYYY, e.g., Jul-2024)
- Column B: Monthly Revenue (sum of Final Amount for that month, Active + INR only)
- Column C: Cumulative Revenue (running total up to that month)
- Column D: MoM Growth % = (Current Month − Previous Month) / Previous Month × 100. First month = "N/A".
All values must be formula-driven. Write the month with the highest MoM growth % in cell B5.</t>
  </si>
  <si>
    <t>How many unique customers have at least one "Active" transaction AND at least one "Cancelled" or "Churned" transaction?
(A customer counts only if they appear in BOTH categories)
Write the count (using formula) in cell B6.</t>
  </si>
  <si>
    <t>SUM of Final Amount</t>
  </si>
  <si>
    <t>COUNT of Final Amount</t>
  </si>
  <si>
    <t>AVERAGE of Discount %</t>
  </si>
  <si>
    <t>Grand Total</t>
  </si>
  <si>
    <t>Month</t>
  </si>
  <si>
    <t>Monthly Revenue</t>
  </si>
  <si>
    <t>Cumulative Revenue</t>
  </si>
  <si>
    <t>MoM Growth %</t>
  </si>
  <si>
    <t>2024-07</t>
  </si>
  <si>
    <t>N/A</t>
  </si>
  <si>
    <t>2024-08</t>
  </si>
  <si>
    <t>2024-09</t>
  </si>
  <si>
    <t>2024-10</t>
  </si>
  <si>
    <t>2024-11</t>
  </si>
  <si>
    <t>2024-12</t>
  </si>
  <si>
    <t>2025-01</t>
  </si>
  <si>
    <t>2025-02</t>
  </si>
  <si>
    <t>2025-03</t>
  </si>
  <si>
    <t>2025-04</t>
  </si>
  <si>
    <t>2025-05</t>
  </si>
  <si>
    <t>2025-06</t>
  </si>
  <si>
    <t>2025-09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</si>
</sst>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M/d/yyyy"/>
  </numFmts>
  <fonts count="9">
    <font>
      <sz val="10.0"/>
      <color rgb="FF000000"/>
      <name val="Arial"/>
      <scheme val="minor"/>
    </font>
    <font>
      <b/>
      <sz val="10.0"/>
      <color rgb="FF000000"/>
      <name val="Calibri"/>
    </font>
    <font>
      <color theme="1"/>
      <name val="Calibri"/>
    </font>
    <font>
      <sz val="10.0"/>
      <color theme="1"/>
      <name val="Calibri"/>
    </font>
    <font>
      <b/>
      <sz val="11.0"/>
      <color rgb="FF000000"/>
      <name val="Calibri"/>
    </font>
    <font>
      <sz val="11.0"/>
      <color theme="1"/>
      <name val="Calibri"/>
    </font>
    <font>
      <color theme="1"/>
      <name val="Arial"/>
      <scheme val="minor"/>
    </font>
    <font>
      <b/>
      <color theme="1"/>
      <name val="Arial"/>
      <scheme val="minor"/>
    </font>
    <font>
      <color theme="1"/>
      <name val="Arial"/>
    </font>
  </fonts>
  <fills count="4">
    <fill>
      <patternFill patternType="none"/>
    </fill>
    <fill>
      <patternFill patternType="lightGray"/>
    </fill>
    <fill>
      <patternFill patternType="solid">
        <fgColor rgb="FFC9DAF8"/>
        <bgColor rgb="FFC9DAF8"/>
      </patternFill>
    </fill>
    <fill>
      <patternFill patternType="solid">
        <fgColor rgb="FFFFF2CC"/>
        <bgColor rgb="FFFFF2CC"/>
      </patternFill>
    </fill>
  </fills>
  <borders count="3">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3" fontId="1" numFmtId="0" xfId="0" applyAlignment="1" applyFill="1" applyFont="1">
      <alignment horizontal="center" shrinkToFit="0" vertical="center" wrapText="1"/>
    </xf>
    <xf borderId="0" fillId="0" fontId="2" numFmtId="0" xfId="0" applyAlignment="1" applyFont="1">
      <alignment vertical="center"/>
    </xf>
    <xf borderId="1" fillId="0" fontId="3" numFmtId="0" xfId="0" applyBorder="1" applyFont="1"/>
    <xf borderId="1" fillId="0" fontId="3" numFmtId="164" xfId="0" applyBorder="1" applyFont="1" applyNumberFormat="1"/>
    <xf borderId="1" fillId="3" fontId="3" numFmtId="0" xfId="0" applyAlignment="1" applyBorder="1" applyFont="1">
      <alignment readingOrder="0"/>
    </xf>
    <xf borderId="1" fillId="3" fontId="3" numFmtId="0" xfId="0" applyBorder="1" applyFont="1"/>
    <xf borderId="0" fillId="0" fontId="2" numFmtId="0" xfId="0" applyFont="1"/>
    <xf borderId="2" fillId="0" fontId="3" numFmtId="0" xfId="0" applyBorder="1" applyFont="1"/>
    <xf borderId="2" fillId="0" fontId="3" numFmtId="164" xfId="0" applyBorder="1" applyFont="1" applyNumberFormat="1"/>
    <xf borderId="2" fillId="0" fontId="3" numFmtId="0" xfId="0" applyAlignment="1" applyBorder="1" applyFont="1">
      <alignment readingOrder="0"/>
    </xf>
    <xf borderId="0" fillId="2" fontId="4" numFmtId="0" xfId="0" applyAlignment="1" applyFont="1">
      <alignment horizontal="center"/>
    </xf>
    <xf borderId="0" fillId="0" fontId="5" numFmtId="0" xfId="0" applyFont="1"/>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readingOrder="0"/>
    </xf>
    <xf borderId="0" fillId="0" fontId="5" numFmtId="165" xfId="0" applyAlignment="1" applyFont="1" applyNumberFormat="1">
      <alignment readingOrder="0" shrinkToFit="0" vertical="top" wrapText="1"/>
    </xf>
    <xf borderId="0" fillId="0" fontId="6" numFmtId="0" xfId="0" applyFont="1"/>
    <xf borderId="0" fillId="2" fontId="7" numFmtId="0" xfId="0" applyAlignment="1" applyFont="1">
      <alignment readingOrder="0"/>
    </xf>
    <xf borderId="0" fillId="0" fontId="8" numFmtId="165" xfId="0" applyAlignment="1" applyFont="1" applyNumberFormat="1">
      <alignment vertical="bottom"/>
    </xf>
    <xf borderId="0" fillId="0" fontId="6" numFmtId="0" xfId="0" applyAlignment="1" applyFont="1">
      <alignment readingOrder="0"/>
    </xf>
    <xf borderId="0" fillId="0" fontId="6" numFmtId="10" xfId="0" applyFont="1" applyNumberFormat="1"/>
    <xf borderId="0" fillId="0" fontId="6"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164" sheet="Transactions"/>
  </cacheSource>
  <cacheFields>
    <cacheField name="Transaction ID" numFmtId="0">
      <sharedItems>
        <s v="TXN-1000"/>
        <s v="TXN-1001"/>
        <s v="TXN-1002"/>
        <s v="TXN-1003"/>
        <s v="TXN-1004"/>
        <s v="TXN-1005"/>
        <s v="TXN-1006"/>
        <s v="TXN-1007"/>
        <s v="TXN-1008"/>
        <s v="TXN-1009"/>
        <s v="TXN-1010"/>
        <s v="TXN-1011"/>
        <s v="TXN-1012"/>
        <s v="TXN-1013"/>
        <s v="TXN-1014"/>
        <s v="TXN-1015"/>
        <s v="TXN-1016"/>
        <s v="TXN-1017"/>
        <s v="TXN-1018"/>
        <s v="TXN-1019"/>
        <s v="TXN-1020"/>
        <s v="TXN-1021"/>
        <s v="TXN-1022"/>
        <s v="TXN-1023"/>
        <s v="TXN-1024"/>
        <s v="TXN-1025"/>
        <s v="TXN-1026"/>
        <s v="TXN-1027"/>
        <s v="TXN-1028"/>
        <s v="TXN-1029"/>
        <s v="TXN-1030"/>
        <s v="TXN-1031"/>
        <s v="TXN-1032"/>
        <s v="TXN-1033"/>
        <s v="TXN-1034"/>
        <s v="TXN-1035"/>
        <s v="TXN-1036"/>
        <s v="TXN-1037"/>
        <s v="TXN-1038"/>
        <s v="TXN-1039"/>
        <s v="TXN-1040"/>
        <s v="TXN-1041"/>
        <s v="TXN-1042"/>
        <s v="TXN-1043"/>
        <s v="TXN-1044"/>
        <s v="TXN-1045"/>
        <s v="TXN-1046"/>
        <s v="TXN-1047"/>
        <s v="TXN-1048"/>
        <s v="TXN-1049"/>
        <s v="TXN-1050"/>
        <s v="TXN-1051"/>
        <s v="TXN-1052"/>
        <s v="TXN-1053"/>
        <s v="TXN-1054"/>
        <s v="TXN-1055"/>
        <s v="TXN-1056"/>
        <s v="TXN-1057"/>
        <s v="TXN-1058"/>
        <s v="TXN-1059"/>
        <s v="TXN-1060"/>
        <s v="TXN-1061"/>
        <s v="TXN-1062"/>
        <s v="TXN-1063"/>
        <s v="TXN-1064"/>
        <s v="TXN-1065"/>
        <s v="TXN-1066"/>
        <s v="TXN-1067"/>
        <s v="TXN-1068"/>
        <s v="TXN-1069"/>
        <s v="TXN-1070"/>
        <s v="TXN-1071"/>
        <s v="TXN-1072"/>
        <s v="TXN-1073"/>
        <s v="TXN-1074"/>
        <s v="TXN-1075"/>
        <s v="TXN-1076"/>
        <s v="TXN-1077"/>
        <s v="TXN-1078"/>
        <s v="TXN-1079"/>
        <s v="TXN-1080"/>
        <s v="TXN-1081"/>
        <s v="TXN-1082"/>
        <s v="TXN-1083"/>
        <s v="TXN-1084"/>
        <s v="TXN-1085"/>
        <s v="TXN-1086"/>
        <s v="TXN-1087"/>
        <s v="TXN-1088"/>
        <s v="TXN-1089"/>
        <s v="TXN-1090"/>
        <s v="TXN-1091"/>
        <s v="TXN-1092"/>
        <s v="TXN-1093"/>
        <s v="TXN-1094"/>
        <s v="TXN-1095"/>
        <s v="TXN-1096"/>
        <s v="TXN-1097"/>
        <s v="TXN-1098"/>
        <s v="TXN-1099"/>
        <s v="TXN-1100"/>
        <s v="TXN-1101"/>
        <s v="TXN-1102"/>
        <s v="TXN-1103"/>
        <s v="TXN-1104"/>
        <s v="TXN-1105"/>
        <s v="TXN-1106"/>
        <s v="TXN-1107"/>
        <s v="TXN-1108"/>
        <s v="TXN-1109"/>
        <s v="TXN-1110"/>
        <s v="TXN-1111"/>
        <s v="TXN-1112"/>
        <s v="TXN-1113"/>
        <s v="TXN-1114"/>
        <s v="TXN-1115"/>
        <s v="TXN-1116"/>
        <s v="TXN-1117"/>
        <s v="TXN-1118"/>
        <s v="TXN-1119"/>
        <s v="TXN-1120"/>
        <s v="TXN-1121"/>
        <s v="TXN-1122"/>
        <s v="TXN-1123"/>
        <s v="TXN-1124"/>
        <s v="TXN-1125"/>
        <s v="TXN-1126"/>
        <s v="TXN-1127"/>
        <s v="TXN-1128"/>
        <s v="TXN-1129"/>
        <s v="TXN-1130"/>
        <s v="TXN-1131"/>
        <s v="TXN-1132"/>
        <s v="TXN-1133"/>
        <s v="TXN-1134"/>
        <s v="TXN-1135"/>
        <s v="TXN-1136"/>
        <s v="TXN-1137"/>
        <s v="TXN-1138"/>
        <s v="TXN-1139"/>
        <s v="TXN-1140"/>
        <s v="TXN-1141"/>
        <s v="TXN-1142"/>
        <s v="TXN-1143"/>
        <s v="TXN-1144"/>
        <s v="TXN-1145"/>
        <s v="TXN-1146"/>
        <s v="TXN-1147"/>
        <s v="TXN-1148"/>
        <s v="TXN-1149"/>
        <s v="TXN-1150"/>
        <s v="TXN-1151"/>
        <s v="TXN-1152"/>
        <s v="TXN-1153"/>
        <s v="TXN-1154"/>
        <s v="TXN-1155"/>
        <s v="TXN-1156"/>
        <s v="TXN-1157"/>
        <s v="TXN-1158"/>
        <s v="TXN-1159"/>
        <s v="TXN-1161"/>
        <s v="TXN-1162"/>
      </sharedItems>
    </cacheField>
    <cacheField name="Transaction Date">
      <sharedItems containsDate="1" containsMixedTypes="1">
        <d v="2025-04-06T00:00:00Z"/>
        <d v="2024-09-18T00:00:00Z"/>
        <d v="2024-10-07T00:00:00Z"/>
        <d v="2024-08-06T00:00:00Z"/>
        <d v="2025-04-17T00:00:00Z"/>
        <d v="2024-07-25T00:00:00Z"/>
        <d v="2024-11-14T00:00:00Z"/>
        <d v="2024-09-21T00:00:00Z"/>
        <d v="2024-08-05T00:00:00Z"/>
        <d v="2024-08-31T00:00:00Z"/>
        <d v="2025-06-08T00:00:00Z"/>
        <d v="2025-05-31T00:00:00Z"/>
        <d v="2025-04-08T00:00:00Z"/>
        <d v="2025-02-18T00:00:00Z"/>
        <d v="2025-03-29T00:00:00Z"/>
        <d v="2024-11-11T00:00:00Z"/>
        <d v="2024-12-26T00:00:00Z"/>
        <d v="2024-11-12T00:00:00Z"/>
        <d v="2024-07-21T00:00:00Z"/>
        <d v="2025-01-27T00:00:00Z"/>
        <d v="2025-01-21T00:00:00Z"/>
        <d v="2024-12-08T00:00:00Z"/>
        <d v="2025-05-16T00:00:00Z"/>
        <d v="2025-04-07T00:00:00Z"/>
        <d v="2025-05-14T00:00:00Z"/>
        <d v="2025-06-01T00:00:00Z"/>
        <d v="2025-02-12T00:00:00Z"/>
        <d v="2025-05-17T00:00:00Z"/>
        <d v="2025-04-04T00:00:00Z"/>
        <d v="2025-01-31T00:00:00Z"/>
        <s v="31-03-2025"/>
        <d v="2024-11-20T00:00:00Z"/>
        <d v="2025-02-28T00:00:00Z"/>
        <d v="2025-01-20T00:00:00Z"/>
        <d v="2024-07-07T00:00:00Z"/>
        <d v="2024-08-14T00:00:00Z"/>
        <d v="2025-06-25T00:00:00Z"/>
        <d v="2025-06-20T00:00:00Z"/>
        <d v="2025-04-01T00:00:00Z"/>
        <d v="2024-09-03T00:00:00Z"/>
        <d v="2025-03-02T00:00:00Z"/>
        <d v="2024-10-24T00:00:00Z"/>
        <d v="2024-08-08T00:00:00Z"/>
        <d v="2024-12-13T00:00:00Z"/>
        <d v="2024-08-16T00:00:00Z"/>
        <d v="2025-01-23T00:00:00Z"/>
        <d v="2025-02-10T00:00:00Z"/>
        <d v="2024-09-17T00:00:00Z"/>
        <d v="2025-01-29T00:00:00Z"/>
        <d v="2025-02-19T00:00:00Z"/>
        <d v="2024-12-17T00:00:00Z"/>
        <d v="2025-01-11T00:00:00Z"/>
        <d v="2024-07-15T00:00:00Z"/>
        <d v="2024-10-27T00:00:00Z"/>
        <d v="2025-01-13T00:00:00Z"/>
        <d v="2024-10-26T00:00:00Z"/>
        <d v="2024-11-29T00:00:00Z"/>
        <d v="2024-08-25T00:00:00Z"/>
        <d v="2025-03-10T00:00:00Z"/>
        <d v="2025-02-13T00:00:00Z"/>
        <d v="2024-07-11T00:00:00Z"/>
        <d v="2024-09-13T00:00:00Z"/>
        <d v="2024-08-28T00:00:00Z"/>
        <d v="2025-01-22T00:00:00Z"/>
        <d v="2024-11-25T00:00:00Z"/>
        <d v="2025-05-15T00:00:00Z"/>
        <d v="2024-09-11T00:00:00Z"/>
        <d v="2025-06-11T00:00:00Z"/>
        <d v="2024-07-24T00:00:00Z"/>
        <d v="2025-03-14T00:00:00Z"/>
        <d v="2024-09-26T00:00:00Z"/>
        <d v="2025-04-23T00:00:00Z"/>
        <d v="2024-08-07T00:00:00Z"/>
        <d v="2025-03-01T00:00:00Z"/>
        <d v="2025-06-13T00:00:00Z"/>
        <d v="2024-08-13T00:00:00Z"/>
        <d v="2025-03-06T00:00:00Z"/>
        <d v="2024-08-22T00:00:00Z"/>
        <d v="2025-01-08T00:00:00Z"/>
        <s v="10-08-2024"/>
        <d v="2024-08-02T00:00:00Z"/>
        <d v="2025-03-26T00:00:00Z"/>
        <d v="2024-11-01T00:00:00Z"/>
        <s v="20-02-2025"/>
        <d v="2025-05-05T00:00:00Z"/>
        <d v="2025-05-11T00:00:00Z"/>
        <d v="2025-01-04T00:00:00Z"/>
        <d v="2024-10-04T00:00:00Z"/>
        <d v="2024-09-10T00:00:00Z"/>
        <d v="2025-04-21T00:00:00Z"/>
        <d v="2025-05-06T00:00:00Z"/>
        <d v="2025-06-16T00:00:00Z"/>
        <d v="2024-08-24T00:00:00Z"/>
        <d v="2025-03-21T00:00:00Z"/>
        <d v="2025-02-26T00:00:00Z"/>
        <d v="2024-12-18T00:00:00Z"/>
        <d v="2025-01-05T00:00:00Z"/>
        <d v="2024-08-01T00:00:00Z"/>
        <d v="2024-11-04T00:00:00Z"/>
        <d v="2024-12-24T00:00:00Z"/>
        <d v="2025-04-27T00:00:00Z"/>
        <d v="2024-08-27T00:00:00Z"/>
        <d v="2024-10-03T00:00:00Z"/>
        <d v="2024-12-05T00:00:00Z"/>
        <d v="2025-03-16T00:00:00Z"/>
        <d v="2024-07-30T00:00:00Z"/>
        <d v="2024-09-08T00:00:00Z"/>
        <d v="2024-10-23T00:00:00Z"/>
        <s v="27-08-2024"/>
        <d v="2024-10-20T00:00:00Z"/>
        <d v="2025-04-02T00:00:00Z"/>
        <d v="2025-01-06T00:00:00Z"/>
        <d v="2024-10-17T00:00:00Z"/>
        <d v="2025-01-01T00:00:00Z"/>
        <d v="2025-01-30T00:00:00Z"/>
        <d v="2025-03-08T00:00:00Z"/>
        <d v="2025-06-22T00:00:00Z"/>
        <d v="2025-05-27T00:00:00Z"/>
        <d v="2024-09-12T00:00:00Z"/>
        <d v="2024-08-10T00:00:00Z"/>
        <d v="2025-01-09T00:00:00Z"/>
        <d v="2024-12-14T00:00:00Z"/>
        <d v="2025-01-26T00:00:00Z"/>
        <d v="2025-05-01T00:00:00Z"/>
        <d v="2025-03-23T00:00:00Z"/>
        <d v="2024-10-10T00:00:00Z"/>
        <d v="2025-03-28T00:00:00Z"/>
        <d v="2025-06-21T00:00:00Z"/>
        <d v="2024-07-28T00:00:00Z"/>
        <d v="2024-10-21T00:00:00Z"/>
        <d v="2025-05-09T00:00:00Z"/>
        <d v="2025-06-12T00:00:00Z"/>
        <d v="2024-08-17T00:00:00Z"/>
        <d v="2025-09-15T00:00:00Z"/>
      </sharedItems>
    </cacheField>
    <cacheField name="Customer Name" numFmtId="0">
      <sharedItems>
        <s v="SwiftLogic Labs"/>
        <s v="MapleTech Solutions"/>
        <s v="RedOak Enterprises"/>
        <s v="Pinnacle Infra"/>
        <s v="VeloCity Networks"/>
        <s v="ThunderBolt Inc"/>
        <s v="NorthStar Digital"/>
        <s v="EverGreen IT"/>
        <s v="QuantumBit Labs"/>
        <s v="AlphaTrack Systems"/>
        <s v="CloudNine Systems"/>
        <s v="SunRise Technologies"/>
        <s v="UrbanGrid Analytics"/>
        <s v="TechSpark Solutions"/>
        <s v="IronClad Security"/>
        <s v="BrightEdge Digital"/>
        <s v="MetroSync Corp"/>
        <s v="TerraFirm Solutions"/>
        <s v="CoralReef Data"/>
        <s v="TEST_ACCOUNT"/>
        <s v="ZenithBridge Consulting"/>
        <s v="FusionWave Media"/>
        <s v="OceanView Partners"/>
        <s v="SkyHigh Innovations"/>
        <s v="NexGen Software"/>
        <s v="BluePeak Technologies"/>
        <s v="SilverLine Systems"/>
        <s v="SandStone Labs"/>
        <s v="GoldenGate Software"/>
        <s v="CrystalPeak Analytics"/>
        <s v="PixelCraft Studios"/>
        <s v="TidalWave Tech"/>
        <s v="CoreAxis Consulting"/>
        <s v="GreenLeaf Ventures"/>
        <s v="DataPulse Inc"/>
        <s v="FutureTech Labs"/>
      </sharedItems>
    </cacheField>
    <cacheField name="Region" numFmtId="0">
      <sharedItems>
        <s v="North"/>
        <s v="East"/>
        <s v="West"/>
        <s v="South"/>
      </sharedItems>
    </cacheField>
    <cacheField name="City" numFmtId="0">
      <sharedItems>
        <s v="Jaipur"/>
        <s v="Kolkata"/>
        <s v="Patna"/>
        <s v="Ahmedabad"/>
        <s v="Chandigarh"/>
        <s v="Hyderabad"/>
        <s v="Delhi"/>
        <s v="Guwahati"/>
        <s v="Kochi"/>
        <s v="Lucknow"/>
        <s v="Mumbai"/>
        <s v="Pune"/>
        <s v="Chennai"/>
        <s v="Surat"/>
        <s v="Bhubaneswar"/>
        <s v="Bangalore"/>
        <s v="Noida"/>
      </sharedItems>
    </cacheField>
    <cacheField name="Account Manager" numFmtId="0">
      <sharedItems containsBlank="1">
        <s v="SNEHA IYER"/>
        <s v="Rohan Kapoor"/>
        <s v="Arjun Das"/>
        <s v="Vikram Mehta"/>
        <s v="Pooja Nair"/>
        <m/>
      </sharedItems>
    </cacheField>
    <cacheField name="Product" numFmtId="0">
      <sharedItems>
        <s v="Enterprise Plan"/>
        <s v="Training Session"/>
        <s v="API Add-on"/>
        <s v="Onboarding Fee"/>
        <s v="Storage Upgrade"/>
        <s v="Pro Plan"/>
        <s v="Starter Plan"/>
      </sharedItems>
    </cacheField>
    <cacheField name="Product Type" numFmtId="0">
      <sharedItems>
        <s v="Subscription"/>
        <s v="One-time"/>
        <s v="Add-on"/>
      </sharedItems>
    </cacheField>
    <cacheField name="Quantity" numFmtId="0">
      <sharedItems containsSemiMixedTypes="0" containsString="0" containsNumber="1" containsInteger="1">
        <n v="1.0"/>
        <n v="3.0"/>
        <n v="5.0"/>
        <n v="2.0"/>
        <n v="6.0"/>
        <n v="-2.0"/>
        <n v="-1.0"/>
      </sharedItems>
    </cacheField>
    <cacheField name="Unit Price &#10;(INR)" numFmtId="0">
      <sharedItems containsSemiMixedTypes="0" containsString="0" containsNumber="1" containsInteger="1">
        <n v="9999.0"/>
        <n v="4999.0"/>
        <n v="1499.0"/>
        <n v="14999.0"/>
        <n v="799.0"/>
        <n v="2999.0"/>
        <n v="999.0"/>
        <n v="0.0"/>
      </sharedItems>
    </cacheField>
    <cacheField name="Discount %" numFmtId="0">
      <sharedItems containsSemiMixedTypes="0" containsString="0" containsNumber="1">
        <n v="0.0"/>
        <n v="15.0"/>
        <n v="10.0"/>
        <n v="5.0"/>
        <n v="20.0"/>
        <n v="0.15"/>
        <n v="0.1"/>
      </sharedItems>
    </cacheField>
    <cacheField name="Tax Included" numFmtId="0">
      <sharedItems>
        <s v="Yes"/>
        <s v="No"/>
      </sharedItems>
    </cacheField>
    <cacheField name="Currency" numFmtId="0">
      <sharedItems>
        <s v="INR"/>
        <s v="USD"/>
      </sharedItems>
    </cacheField>
    <cacheField name="Billing Cycle" numFmtId="0">
      <sharedItems>
        <s v="Monthly"/>
        <s v="Quarterly"/>
        <s v="Annual"/>
      </sharedItems>
    </cacheField>
    <cacheField name="Payment Method" numFmtId="0">
      <sharedItems>
        <s v="Cheque"/>
        <s v="Credit Card"/>
        <s v="UPI"/>
        <s v="Bank Transfer"/>
      </sharedItems>
    </cacheField>
    <cacheField name="Status" numFmtId="0">
      <sharedItems>
        <s v="Active"/>
        <s v="Paused"/>
        <s v="Refunded"/>
        <s v="Cancelled"/>
        <s v="Churned"/>
      </sharedItems>
    </cacheField>
    <cacheField name="Renewal Date" numFmtId="164">
      <sharedItems containsDate="1" containsString="0" containsBlank="1">
        <d v="2025-05-06T00:00:00Z"/>
        <m/>
        <d v="2024-09-05T00:00:00Z"/>
        <d v="2025-12-26T00:00:00Z"/>
        <d v="2024-10-18T00:00:00Z"/>
        <d v="2025-11-12T00:00:00Z"/>
        <d v="2025-02-20T00:00:00Z"/>
        <d v="2025-12-08T00:00:00Z"/>
        <d v="2025-03-30T00:00:00Z"/>
        <d v="2025-05-01T00:00:00Z"/>
        <d v="2025-09-03T00:00:00Z"/>
        <d v="2024-09-07T00:00:00Z"/>
        <d v="2026-02-19T00:00:00Z"/>
        <d v="2024-08-14T00:00:00Z"/>
        <d v="2025-06-08T00:00:00Z"/>
        <d v="2025-08-28T00:00:00Z"/>
        <d v="2025-11-25T00:00:00Z"/>
        <d v="2025-09-09T00:00:00Z"/>
        <d v="2025-06-12T00:00:00Z"/>
        <d v="2024-12-25T00:00:00Z"/>
        <d v="2025-04-28T00:00:00Z"/>
        <d v="2025-09-11T00:00:00Z"/>
        <d v="2026-03-06T00:00:00Z"/>
        <d v="2026-05-16T00:00:00Z"/>
        <d v="2025-02-07T00:00:00Z"/>
        <d v="2024-10-31T00:00:00Z"/>
        <d v="2025-08-30T00:00:00Z"/>
        <d v="2025-10-04T00:00:00Z"/>
        <d v="2025-02-10T00:00:00Z"/>
        <d v="2025-04-15T00:00:00Z"/>
        <d v="2025-09-08T00:00:00Z"/>
        <d v="2025-02-05T00:00:00Z"/>
        <d v="2026-01-30T00:00:00Z"/>
        <d v="2025-12-14T00:00:00Z"/>
        <d v="2025-09-13T00:00:00Z"/>
        <d v="2025-08-12T00:00:00Z"/>
        <d v="2025-06-21T00:00:00Z"/>
        <d v="2024-12-10T00:00:00Z"/>
        <d v="2026-06-21T00:00:00Z"/>
        <d v="2025-07-28T00:00:00Z"/>
        <d v="2026-09-15T00:00:00Z"/>
        <d v="2025-04-10T00:00:00Z"/>
      </sharedItems>
    </cacheField>
    <cacheField name="Net Amount" numFmtId="0">
      <sharedItems containsSemiMixedTypes="0" containsString="0" containsNumber="1">
        <n v="9999.0"/>
        <n v="4249.15"/>
        <n v="0.0"/>
        <n v="9499.05"/>
        <n v="1199.2"/>
        <n v="12749.15"/>
        <n v="14974.504500000001"/>
        <n v="1496.7515"/>
        <n v="67495.5"/>
        <n v="2699.1"/>
        <n v="899.1"/>
        <n v="2549.15"/>
        <n v="6745.5"/>
        <n v="2999.0"/>
        <n v="1349.1000000000001"/>
        <n v="14249.05"/>
        <n v="8998.2"/>
        <n v="9998.0"/>
        <n v="2998.0"/>
        <n v="2398.4"/>
        <n v="19996.0"/>
        <n v="998.001"/>
        <n v="1499.0"/>
        <n v="1278.4"/>
        <n v="997.5015000000001"/>
        <n v="80994.6"/>
        <n v="22495.5"/>
        <n v="14997.0"/>
        <n v="949.05"/>
        <n v="14976.5015"/>
        <n v="9989.001"/>
        <n v="11999.2"/>
        <n v="42747.15"/>
        <n v="8999.1"/>
        <n v="999.0"/>
        <n v="7999.200000000001"/>
        <n v="40497.3"/>
        <n v="9984.0015"/>
        <n v="798.201"/>
        <n v="4499.1"/>
        <n v="2397.0"/>
        <n v="29998.0"/>
        <n v="1274.1499999999999"/>
        <n v="719.1"/>
        <n v="1518.1"/>
        <n v="7495.0"/>
        <n v="13499.1"/>
        <n v="44997.0"/>
        <n v="799.0"/>
        <n v="21245.75"/>
        <n v="8499.15"/>
        <n v="1424.05"/>
        <n v="2849.0499999999997"/>
        <n v="4749.05"/>
        <n v="2994.5015000000003"/>
        <n v="759.05"/>
      </sharedItems>
    </cacheField>
    <cacheField name="Tax Amount (18% GST)" numFmtId="0">
      <sharedItems containsSemiMixedTypes="0" containsString="0" containsNumber="1">
        <n v="1525.2711864406774"/>
        <n v="648.1754237288133"/>
        <n v="0.0"/>
        <n v="1709.8289999999997"/>
        <n v="182.92881355932195"/>
        <n v="1944.7855932203383"/>
        <n v="2284.2464491525425"/>
        <n v="228.31802542372884"/>
        <n v="2695.41081"/>
        <n v="12149.189999999999"/>
        <n v="411.72711864406756"/>
        <n v="161.838"/>
        <n v="388.85338983050815"/>
        <n v="1028.9745762711864"/>
        <n v="457.4745762711864"/>
        <n v="242.83800000000002"/>
        <n v="2173.5838983050835"/>
        <n v="1619.6760000000002"/>
        <n v="1799.6399999999999"/>
        <n v="457.3220338983051"/>
        <n v="1449.0076271186435"/>
        <n v="365.8576271186439"/>
        <n v="3599.2799999999997"/>
        <n v="179.64018"/>
        <n v="228.66101694915255"/>
        <n v="195.0101694915254"/>
        <n v="152.16124576271181"/>
        <n v="14579.028"/>
        <n v="3431.516949152541"/>
        <n v="2699.46"/>
        <n v="170.82899999999998"/>
        <n v="485.83799999999997"/>
        <n v="2284.5510762711856"/>
        <n v="1798.02018"/>
        <n v="2287.6779661016935"/>
        <n v="137.15084745762704"/>
        <n v="1830.3864406779649"/>
        <n v="6520.751694915256"/>
        <n v="1372.7440677966097"/>
        <n v="179.82"/>
        <n v="1220.216949152542"/>
        <n v="7289.514"/>
        <n v="1522.9832796610171"/>
        <n v="143.67618"/>
        <n v="686.3033898305084"/>
        <n v="269.82"/>
        <n v="152.2374406779661"/>
        <n v="2159.856"/>
        <n v="365.64406779661"/>
        <n v="4575.966101694914"/>
        <n v="431.712"/>
        <n v="229.34699999999998"/>
        <n v="109.693220338983"/>
        <n v="231.5745762711863"/>
        <n v="1349.1"/>
        <n v="458.847"/>
        <n v="2429.838"/>
        <n v="144.7703389830508"/>
        <n v="6863.949152542373"/>
        <n v="143.82"/>
        <n v="764.8469999999999"/>
        <n v="3240.877118644068"/>
        <n v="1296.4805084745758"/>
        <n v="256.329"/>
        <n v="512.829"/>
        <n v="854.829"/>
        <n v="269.41527"/>
        <n v="539.01027"/>
        <n v="1439.856"/>
        <n v="115.78728813559314"/>
      </sharedItems>
    </cacheField>
    <cacheField name="Final Amount" numFmtId="0">
      <sharedItems containsSemiMixedTypes="0" containsString="0" containsNumber="1">
        <n v="9999.0"/>
        <n v="4249.15"/>
        <n v="0.0"/>
        <n v="11208.878999999999"/>
        <n v="1199.2"/>
        <n v="12749.15"/>
        <n v="14974.504500000001"/>
        <n v="1496.7515"/>
        <n v="17669.91531"/>
        <n v="79644.69"/>
        <n v="2699.1"/>
        <n v="1060.938"/>
        <n v="2549.15"/>
        <n v="6745.5"/>
        <n v="2999.0"/>
        <n v="1591.938"/>
        <n v="14249.05"/>
        <n v="10617.876"/>
        <n v="11797.64"/>
        <n v="2998.0"/>
        <n v="9499.05"/>
        <n v="2398.4"/>
        <n v="23595.28"/>
        <n v="1177.64118"/>
        <n v="1499.0"/>
        <n v="1278.4"/>
        <n v="997.5015000000001"/>
        <n v="95573.62800000001"/>
        <n v="22495.5"/>
        <n v="17696.46"/>
        <n v="1119.879"/>
        <n v="3184.938"/>
        <n v="14976.5015"/>
        <n v="11787.02118"/>
        <n v="14997.0"/>
        <n v="899.1"/>
        <n v="11999.2"/>
        <n v="42747.15"/>
        <n v="8999.1"/>
        <n v="1178.82"/>
        <n v="7999.200000000001"/>
        <n v="47786.814000000006"/>
        <n v="9984.0015"/>
        <n v="941.87718"/>
        <n v="4499.1"/>
        <n v="1768.82"/>
        <n v="998.001"/>
        <n v="14159.056"/>
        <n v="2397.0"/>
        <n v="29998.0"/>
        <n v="2830.112"/>
        <n v="1503.4969999999998"/>
        <n v="719.1"/>
        <n v="1518.1"/>
        <n v="8844.1"/>
        <n v="3007.9970000000003"/>
        <n v="15928.938"/>
        <n v="949.05"/>
        <n v="44997.0"/>
        <n v="942.8199999999999"/>
        <n v="5013.996999999999"/>
        <n v="21245.75"/>
        <n v="8499.15"/>
        <n v="1680.379"/>
        <n v="3361.879"/>
        <n v="5603.879"/>
        <n v="1766.16677"/>
        <n v="3533.51177"/>
        <n v="9439.056"/>
        <n v="759.05"/>
      </sharedItems>
    </cacheField>
    <cacheField name="Quarter" numFmtId="0">
      <sharedItems>
        <s v="Q2"/>
        <s v="Q3"/>
        <s v="Q4"/>
        <s v="Q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egion Summary" cacheId="0" dataCaption="" compact="0" compactData="0">
  <location ref="A4:D9" firstHeaderRow="0" firstDataRow="2" firstDataCol="0" rowPageCount="2" colPageCount="1"/>
  <pivotFields>
    <pivotField name="Transaction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ame="Transac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Region" axis="axisRow" compact="0" outline="0" multipleItemSelectionAllowed="1" showAll="0" sortType="ascending">
      <items>
        <item x="1"/>
        <item x="0"/>
        <item x="3"/>
        <item x="2"/>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Account Manager"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x="6"/>
        <item t="default"/>
      </items>
    </pivotField>
    <pivotField name="Product Type" compact="0" outline="0" multipleItemSelectionAllowed="1" showAll="0">
      <items>
        <item x="0"/>
        <item x="1"/>
        <item x="2"/>
        <item t="default"/>
      </items>
    </pivotField>
    <pivotField name="Quantity" compact="0" outline="0" multipleItemSelectionAllowed="1" showAll="0">
      <items>
        <item x="0"/>
        <item x="1"/>
        <item x="2"/>
        <item x="3"/>
        <item x="4"/>
        <item x="5"/>
        <item x="6"/>
        <item t="default"/>
      </items>
    </pivotField>
    <pivotField name="Unit Price &#10;(INR)" compact="0" outline="0" multipleItemSelectionAllowed="1" showAll="0">
      <items>
        <item x="0"/>
        <item x="1"/>
        <item x="2"/>
        <item x="3"/>
        <item x="4"/>
        <item x="5"/>
        <item x="6"/>
        <item x="7"/>
        <item t="default"/>
      </items>
    </pivotField>
    <pivotField name="Discount %" dataField="1" compact="0" outline="0" multipleItemSelectionAllowed="1" showAll="0">
      <items>
        <item x="0"/>
        <item x="1"/>
        <item x="2"/>
        <item x="3"/>
        <item x="4"/>
        <item x="5"/>
        <item x="6"/>
        <item t="default"/>
      </items>
    </pivotField>
    <pivotField name="Tax Included" compact="0" outline="0" multipleItemSelectionAllowed="1" showAll="0">
      <items>
        <item x="0"/>
        <item x="1"/>
        <item t="default"/>
      </items>
    </pivotField>
    <pivotField name="Currency" axis="axisPage" compact="0" outline="0" multipleItemSelectionAllowed="1" showAll="0">
      <items>
        <item x="0"/>
        <item h="1" x="1"/>
        <item t="default"/>
      </items>
    </pivotField>
    <pivotField name="Billing Cycle" compact="0" outline="0" multipleItemSelectionAllowed="1" showAll="0">
      <items>
        <item x="0"/>
        <item x="1"/>
        <item x="2"/>
        <item t="default"/>
      </items>
    </pivotField>
    <pivotField name="Payment Method" compact="0" outline="0" multipleItemSelectionAllowed="1" showAll="0">
      <items>
        <item x="0"/>
        <item x="1"/>
        <item x="2"/>
        <item x="3"/>
        <item t="default"/>
      </items>
    </pivotField>
    <pivotField name="Status" axis="axisPage" compact="0" outline="0" multipleItemSelectionAllowed="1" showAll="0">
      <items>
        <item x="0"/>
        <item h="1" x="1"/>
        <item x="2"/>
        <item h="1" x="3"/>
        <item h="1" x="4"/>
        <item t="default"/>
      </items>
    </pivotField>
    <pivotField name="Renewal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Net Am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Tax Amount (18% G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Final 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Quarter" compact="0" outline="0" multipleItemSelectionAllowed="1" showAll="0">
      <items>
        <item x="0"/>
        <item x="1"/>
        <item x="2"/>
        <item x="3"/>
        <item t="default"/>
      </items>
    </pivotField>
  </pivotFields>
  <rowFields>
    <field x="3"/>
  </rowFields>
  <colFields>
    <field x="-2"/>
  </colFields>
  <pageFields>
    <pageField fld="15"/>
    <pageField fld="12"/>
  </pageFields>
  <dataFields>
    <dataField name="SUM of Final Amount" fld="19" baseField="0"/>
    <dataField name="COUNT of Final Amount" fld="19" subtotal="countNums" baseField="0"/>
    <dataField name="AVERAGE of Discount %" fld="10"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8.5"/>
    <col customWidth="1" min="3" max="3" width="21.0"/>
    <col customWidth="1" min="4" max="4" width="10.75"/>
    <col customWidth="1" min="5" max="5" width="12.25"/>
    <col customWidth="1" min="6" max="6" width="17.5"/>
    <col customWidth="1" min="7" max="7" width="15.75"/>
    <col customWidth="1" min="8" max="8" width="12.25"/>
    <col customWidth="1" min="9" max="9" width="11.88"/>
    <col customWidth="1" min="10" max="10" width="14.0"/>
    <col customWidth="1" min="11" max="11" width="10.5"/>
    <col customWidth="1" min="12" max="12" width="12.25"/>
    <col customWidth="1" min="13" max="13" width="11.63"/>
    <col customWidth="1" min="14" max="14" width="12.25"/>
    <col customWidth="1" min="15" max="15" width="14.0"/>
    <col customWidth="1" min="16" max="16" width="11.38"/>
    <col customWidth="1" min="17" max="17" width="16.5"/>
    <col customWidth="1" min="18" max="21" width="12.5"/>
    <col customWidth="1" min="22" max="25" width="10.5"/>
  </cols>
  <sheetData>
    <row r="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3" t="s">
        <v>17</v>
      </c>
      <c r="S1" s="3" t="s">
        <v>18</v>
      </c>
      <c r="T1" s="3" t="s">
        <v>19</v>
      </c>
      <c r="U1" s="3" t="s">
        <v>20</v>
      </c>
      <c r="V1" s="4"/>
      <c r="W1" s="4"/>
      <c r="X1" s="4"/>
      <c r="Y1" s="4"/>
    </row>
    <row r="2">
      <c r="A2" s="5" t="s">
        <v>21</v>
      </c>
      <c r="B2" s="6">
        <v>45753.0</v>
      </c>
      <c r="C2" s="5" t="s">
        <v>22</v>
      </c>
      <c r="D2" s="5" t="s">
        <v>23</v>
      </c>
      <c r="E2" s="5" t="s">
        <v>24</v>
      </c>
      <c r="F2" s="5" t="s">
        <v>25</v>
      </c>
      <c r="G2" s="5" t="s">
        <v>26</v>
      </c>
      <c r="H2" s="5" t="s">
        <v>27</v>
      </c>
      <c r="I2" s="5">
        <v>1.0</v>
      </c>
      <c r="J2" s="5">
        <v>9999.0</v>
      </c>
      <c r="K2" s="5">
        <v>0.0</v>
      </c>
      <c r="L2" s="5" t="s">
        <v>28</v>
      </c>
      <c r="M2" s="5" t="s">
        <v>29</v>
      </c>
      <c r="N2" s="5" t="s">
        <v>30</v>
      </c>
      <c r="O2" s="5" t="s">
        <v>31</v>
      </c>
      <c r="P2" s="5" t="s">
        <v>32</v>
      </c>
      <c r="Q2" s="6">
        <v>45783.0</v>
      </c>
      <c r="R2" s="7">
        <f t="shared" ref="R2:R164" si="1">IF(P2="Active", I2*J2*(1-K2/100), 0)</f>
        <v>9999</v>
      </c>
      <c r="S2" s="8">
        <f t="shared" ref="S2:S164" si="2">IF(L2="Yes", R2-(R2/1.18), R2*0.18)</f>
        <v>1525.271186</v>
      </c>
      <c r="T2" s="8">
        <f t="shared" ref="T2:T164" si="3">IF(L2="Yes", R2, R2+S2)</f>
        <v>9999</v>
      </c>
      <c r="U2" s="8" t="str">
        <f t="shared" ref="U2:U164" si="4">"Q"&amp;ROUNDUP(MONTH(IFERROR(DATEVALUE(B2), DATE(RIGHT(B2,4), MID(B2,4,2), LEFT(B2,2))))/3,0)</f>
        <v>Q2</v>
      </c>
      <c r="V2" s="9"/>
      <c r="W2" s="9"/>
      <c r="X2" s="9"/>
      <c r="Y2" s="9"/>
    </row>
    <row r="3">
      <c r="A3" s="10" t="s">
        <v>33</v>
      </c>
      <c r="B3" s="11">
        <v>45553.0</v>
      </c>
      <c r="C3" s="10" t="s">
        <v>34</v>
      </c>
      <c r="D3" s="10" t="s">
        <v>35</v>
      </c>
      <c r="E3" s="10" t="s">
        <v>36</v>
      </c>
      <c r="F3" s="10" t="s">
        <v>37</v>
      </c>
      <c r="G3" s="10" t="s">
        <v>38</v>
      </c>
      <c r="H3" s="10" t="s">
        <v>39</v>
      </c>
      <c r="I3" s="10">
        <v>1.0</v>
      </c>
      <c r="J3" s="10">
        <v>4999.0</v>
      </c>
      <c r="K3" s="10">
        <v>15.0</v>
      </c>
      <c r="L3" s="10" t="s">
        <v>28</v>
      </c>
      <c r="M3" s="10" t="s">
        <v>29</v>
      </c>
      <c r="N3" s="10" t="s">
        <v>40</v>
      </c>
      <c r="O3" s="10" t="s">
        <v>41</v>
      </c>
      <c r="P3" s="10" t="s">
        <v>32</v>
      </c>
      <c r="Q3" s="10"/>
      <c r="R3" s="7">
        <f t="shared" si="1"/>
        <v>4249.15</v>
      </c>
      <c r="S3" s="8">
        <f t="shared" si="2"/>
        <v>648.1754237</v>
      </c>
      <c r="T3" s="8">
        <f t="shared" si="3"/>
        <v>4249.15</v>
      </c>
      <c r="U3" s="8" t="str">
        <f t="shared" si="4"/>
        <v>Q3</v>
      </c>
      <c r="V3" s="9"/>
      <c r="W3" s="9"/>
      <c r="X3" s="9"/>
      <c r="Y3" s="9"/>
    </row>
    <row r="4">
      <c r="A4" s="10" t="s">
        <v>42</v>
      </c>
      <c r="B4" s="11">
        <v>45572.0</v>
      </c>
      <c r="C4" s="10" t="s">
        <v>43</v>
      </c>
      <c r="D4" s="10" t="s">
        <v>23</v>
      </c>
      <c r="E4" s="10" t="s">
        <v>24</v>
      </c>
      <c r="F4" s="10" t="s">
        <v>44</v>
      </c>
      <c r="G4" s="10" t="s">
        <v>38</v>
      </c>
      <c r="H4" s="10" t="s">
        <v>39</v>
      </c>
      <c r="I4" s="10">
        <v>1.0</v>
      </c>
      <c r="J4" s="10">
        <v>4999.0</v>
      </c>
      <c r="K4" s="10">
        <v>10.0</v>
      </c>
      <c r="L4" s="10" t="s">
        <v>45</v>
      </c>
      <c r="M4" s="10" t="s">
        <v>29</v>
      </c>
      <c r="N4" s="10" t="s">
        <v>30</v>
      </c>
      <c r="O4" s="10" t="s">
        <v>46</v>
      </c>
      <c r="P4" s="10" t="s">
        <v>47</v>
      </c>
      <c r="Q4" s="10"/>
      <c r="R4" s="7">
        <f t="shared" si="1"/>
        <v>0</v>
      </c>
      <c r="S4" s="8">
        <f t="shared" si="2"/>
        <v>0</v>
      </c>
      <c r="T4" s="8">
        <f t="shared" si="3"/>
        <v>0</v>
      </c>
      <c r="U4" s="8" t="str">
        <f t="shared" si="4"/>
        <v>Q4</v>
      </c>
      <c r="V4" s="9"/>
      <c r="W4" s="9"/>
      <c r="X4" s="9"/>
      <c r="Y4" s="9"/>
    </row>
    <row r="5">
      <c r="A5" s="10" t="s">
        <v>48</v>
      </c>
      <c r="B5" s="11">
        <v>45510.0</v>
      </c>
      <c r="C5" s="10" t="s">
        <v>49</v>
      </c>
      <c r="D5" s="10" t="s">
        <v>35</v>
      </c>
      <c r="E5" s="10" t="s">
        <v>50</v>
      </c>
      <c r="F5" s="10" t="s">
        <v>51</v>
      </c>
      <c r="G5" s="10" t="s">
        <v>26</v>
      </c>
      <c r="H5" s="10" t="s">
        <v>27</v>
      </c>
      <c r="I5" s="10">
        <v>1.0</v>
      </c>
      <c r="J5" s="10">
        <v>9999.0</v>
      </c>
      <c r="K5" s="10">
        <v>5.0</v>
      </c>
      <c r="L5" s="10" t="s">
        <v>45</v>
      </c>
      <c r="M5" s="10" t="s">
        <v>29</v>
      </c>
      <c r="N5" s="10" t="s">
        <v>40</v>
      </c>
      <c r="O5" s="10" t="s">
        <v>46</v>
      </c>
      <c r="P5" s="10" t="s">
        <v>32</v>
      </c>
      <c r="Q5" s="11">
        <v>45540.0</v>
      </c>
      <c r="R5" s="7">
        <f t="shared" si="1"/>
        <v>9499.05</v>
      </c>
      <c r="S5" s="8">
        <f t="shared" si="2"/>
        <v>1709.829</v>
      </c>
      <c r="T5" s="8">
        <f t="shared" si="3"/>
        <v>11208.879</v>
      </c>
      <c r="U5" s="8" t="str">
        <f t="shared" si="4"/>
        <v>Q3</v>
      </c>
      <c r="V5" s="9"/>
      <c r="W5" s="9"/>
      <c r="X5" s="9"/>
      <c r="Y5" s="9"/>
    </row>
    <row r="6">
      <c r="A6" s="10" t="s">
        <v>52</v>
      </c>
      <c r="B6" s="11">
        <v>45764.0</v>
      </c>
      <c r="C6" s="10" t="s">
        <v>53</v>
      </c>
      <c r="D6" s="10" t="s">
        <v>23</v>
      </c>
      <c r="E6" s="10" t="s">
        <v>24</v>
      </c>
      <c r="F6" s="10" t="s">
        <v>54</v>
      </c>
      <c r="G6" s="10" t="s">
        <v>55</v>
      </c>
      <c r="H6" s="10" t="s">
        <v>56</v>
      </c>
      <c r="I6" s="10">
        <v>1.0</v>
      </c>
      <c r="J6" s="10">
        <v>1499.0</v>
      </c>
      <c r="K6" s="10">
        <v>20.0</v>
      </c>
      <c r="L6" s="10" t="s">
        <v>28</v>
      </c>
      <c r="M6" s="10" t="s">
        <v>29</v>
      </c>
      <c r="N6" s="10" t="s">
        <v>57</v>
      </c>
      <c r="O6" s="10" t="s">
        <v>46</v>
      </c>
      <c r="P6" s="10" t="s">
        <v>32</v>
      </c>
      <c r="Q6" s="10"/>
      <c r="R6" s="7">
        <f t="shared" si="1"/>
        <v>1199.2</v>
      </c>
      <c r="S6" s="8">
        <f t="shared" si="2"/>
        <v>182.9288136</v>
      </c>
      <c r="T6" s="8">
        <f t="shared" si="3"/>
        <v>1199.2</v>
      </c>
      <c r="U6" s="8" t="str">
        <f t="shared" si="4"/>
        <v>Q2</v>
      </c>
      <c r="V6" s="9"/>
      <c r="W6" s="9"/>
      <c r="X6" s="9"/>
      <c r="Y6" s="9"/>
    </row>
    <row r="7">
      <c r="A7" s="10" t="s">
        <v>58</v>
      </c>
      <c r="B7" s="11">
        <v>45498.0</v>
      </c>
      <c r="C7" s="10" t="s">
        <v>59</v>
      </c>
      <c r="D7" s="10" t="s">
        <v>60</v>
      </c>
      <c r="E7" s="10" t="s">
        <v>61</v>
      </c>
      <c r="F7" s="10" t="s">
        <v>37</v>
      </c>
      <c r="G7" s="10" t="s">
        <v>26</v>
      </c>
      <c r="H7" s="10" t="s">
        <v>27</v>
      </c>
      <c r="I7" s="10">
        <v>1.0</v>
      </c>
      <c r="J7" s="10">
        <v>9999.0</v>
      </c>
      <c r="K7" s="10">
        <v>0.0</v>
      </c>
      <c r="L7" s="10" t="s">
        <v>45</v>
      </c>
      <c r="M7" s="10" t="s">
        <v>29</v>
      </c>
      <c r="N7" s="10" t="s">
        <v>40</v>
      </c>
      <c r="O7" s="10" t="s">
        <v>31</v>
      </c>
      <c r="P7" s="10" t="s">
        <v>62</v>
      </c>
      <c r="Q7" s="10"/>
      <c r="R7" s="7">
        <f t="shared" si="1"/>
        <v>0</v>
      </c>
      <c r="S7" s="8">
        <f t="shared" si="2"/>
        <v>0</v>
      </c>
      <c r="T7" s="8">
        <f t="shared" si="3"/>
        <v>0</v>
      </c>
      <c r="U7" s="8" t="str">
        <f t="shared" si="4"/>
        <v>Q3</v>
      </c>
      <c r="V7" s="9"/>
      <c r="W7" s="9"/>
      <c r="X7" s="9"/>
      <c r="Y7" s="9"/>
    </row>
    <row r="8">
      <c r="A8" s="10" t="s">
        <v>63</v>
      </c>
      <c r="B8" s="11">
        <v>45610.0</v>
      </c>
      <c r="C8" s="10" t="s">
        <v>64</v>
      </c>
      <c r="D8" s="10" t="s">
        <v>35</v>
      </c>
      <c r="E8" s="10" t="s">
        <v>36</v>
      </c>
      <c r="F8" s="10" t="s">
        <v>65</v>
      </c>
      <c r="G8" s="10" t="s">
        <v>66</v>
      </c>
      <c r="H8" s="10" t="s">
        <v>39</v>
      </c>
      <c r="I8" s="10">
        <v>1.0</v>
      </c>
      <c r="J8" s="10">
        <v>14999.0</v>
      </c>
      <c r="K8" s="10">
        <v>15.0</v>
      </c>
      <c r="L8" s="10" t="s">
        <v>28</v>
      </c>
      <c r="M8" s="10" t="s">
        <v>29</v>
      </c>
      <c r="N8" s="10" t="s">
        <v>30</v>
      </c>
      <c r="O8" s="10" t="s">
        <v>67</v>
      </c>
      <c r="P8" s="10" t="s">
        <v>32</v>
      </c>
      <c r="Q8" s="10"/>
      <c r="R8" s="7">
        <f t="shared" si="1"/>
        <v>12749.15</v>
      </c>
      <c r="S8" s="8">
        <f t="shared" si="2"/>
        <v>1944.785593</v>
      </c>
      <c r="T8" s="8">
        <f t="shared" si="3"/>
        <v>12749.15</v>
      </c>
      <c r="U8" s="8" t="str">
        <f t="shared" si="4"/>
        <v>Q4</v>
      </c>
      <c r="V8" s="9"/>
      <c r="W8" s="9"/>
      <c r="X8" s="9"/>
      <c r="Y8" s="9"/>
    </row>
    <row r="9">
      <c r="A9" s="10" t="s">
        <v>68</v>
      </c>
      <c r="B9" s="11">
        <v>45556.0</v>
      </c>
      <c r="C9" s="10" t="s">
        <v>69</v>
      </c>
      <c r="D9" s="10" t="s">
        <v>23</v>
      </c>
      <c r="E9" s="10" t="s">
        <v>24</v>
      </c>
      <c r="F9" s="10" t="s">
        <v>44</v>
      </c>
      <c r="G9" s="10" t="s">
        <v>38</v>
      </c>
      <c r="H9" s="10" t="s">
        <v>39</v>
      </c>
      <c r="I9" s="10">
        <v>3.0</v>
      </c>
      <c r="J9" s="10">
        <v>4999.0</v>
      </c>
      <c r="K9" s="10">
        <v>0.15</v>
      </c>
      <c r="L9" s="10" t="s">
        <v>28</v>
      </c>
      <c r="M9" s="10" t="s">
        <v>29</v>
      </c>
      <c r="N9" s="10" t="s">
        <v>70</v>
      </c>
      <c r="O9" s="10" t="s">
        <v>46</v>
      </c>
      <c r="P9" s="10" t="s">
        <v>32</v>
      </c>
      <c r="Q9" s="10"/>
      <c r="R9" s="7">
        <f t="shared" si="1"/>
        <v>14974.5045</v>
      </c>
      <c r="S9" s="8">
        <f t="shared" si="2"/>
        <v>2284.246449</v>
      </c>
      <c r="T9" s="8">
        <f t="shared" si="3"/>
        <v>14974.5045</v>
      </c>
      <c r="U9" s="8" t="str">
        <f t="shared" si="4"/>
        <v>Q3</v>
      </c>
      <c r="V9" s="9"/>
      <c r="W9" s="9"/>
      <c r="X9" s="9"/>
      <c r="Y9" s="9"/>
    </row>
    <row r="10">
      <c r="A10" s="10" t="s">
        <v>71</v>
      </c>
      <c r="B10" s="11">
        <v>45509.0</v>
      </c>
      <c r="C10" s="10" t="s">
        <v>72</v>
      </c>
      <c r="D10" s="10" t="s">
        <v>23</v>
      </c>
      <c r="E10" s="10" t="s">
        <v>73</v>
      </c>
      <c r="F10" s="10" t="s">
        <v>74</v>
      </c>
      <c r="G10" s="10" t="s">
        <v>75</v>
      </c>
      <c r="H10" s="10" t="s">
        <v>56</v>
      </c>
      <c r="I10" s="10">
        <v>3.0</v>
      </c>
      <c r="J10" s="10">
        <v>799.0</v>
      </c>
      <c r="K10" s="10">
        <v>0.0</v>
      </c>
      <c r="L10" s="10" t="s">
        <v>45</v>
      </c>
      <c r="M10" s="10" t="s">
        <v>29</v>
      </c>
      <c r="N10" s="10" t="s">
        <v>76</v>
      </c>
      <c r="O10" s="10" t="s">
        <v>31</v>
      </c>
      <c r="P10" s="10" t="s">
        <v>77</v>
      </c>
      <c r="Q10" s="10"/>
      <c r="R10" s="7">
        <f t="shared" si="1"/>
        <v>0</v>
      </c>
      <c r="S10" s="8">
        <f t="shared" si="2"/>
        <v>0</v>
      </c>
      <c r="T10" s="8">
        <f t="shared" si="3"/>
        <v>0</v>
      </c>
      <c r="U10" s="8" t="str">
        <f t="shared" si="4"/>
        <v>Q3</v>
      </c>
      <c r="V10" s="9"/>
      <c r="W10" s="9"/>
      <c r="X10" s="9"/>
      <c r="Y10" s="9"/>
    </row>
    <row r="11">
      <c r="A11" s="10" t="s">
        <v>78</v>
      </c>
      <c r="B11" s="11">
        <v>45535.0</v>
      </c>
      <c r="C11" s="10" t="s">
        <v>79</v>
      </c>
      <c r="D11" s="10" t="s">
        <v>80</v>
      </c>
      <c r="E11" s="10" t="s">
        <v>81</v>
      </c>
      <c r="F11" s="10" t="s">
        <v>51</v>
      </c>
      <c r="G11" s="10" t="s">
        <v>55</v>
      </c>
      <c r="H11" s="10" t="s">
        <v>56</v>
      </c>
      <c r="I11" s="10">
        <v>1.0</v>
      </c>
      <c r="J11" s="10">
        <v>1499.0</v>
      </c>
      <c r="K11" s="10">
        <v>0.15</v>
      </c>
      <c r="L11" s="10" t="s">
        <v>28</v>
      </c>
      <c r="M11" s="10" t="s">
        <v>29</v>
      </c>
      <c r="N11" s="10" t="s">
        <v>57</v>
      </c>
      <c r="O11" s="10" t="s">
        <v>41</v>
      </c>
      <c r="P11" s="10" t="s">
        <v>32</v>
      </c>
      <c r="Q11" s="10"/>
      <c r="R11" s="7">
        <f t="shared" si="1"/>
        <v>1496.7515</v>
      </c>
      <c r="S11" s="8">
        <f t="shared" si="2"/>
        <v>228.3180254</v>
      </c>
      <c r="T11" s="8">
        <f t="shared" si="3"/>
        <v>1496.7515</v>
      </c>
      <c r="U11" s="8" t="str">
        <f t="shared" si="4"/>
        <v>Q3</v>
      </c>
      <c r="V11" s="9"/>
      <c r="W11" s="9"/>
      <c r="X11" s="9"/>
      <c r="Y11" s="9"/>
    </row>
    <row r="12">
      <c r="A12" s="10" t="s">
        <v>82</v>
      </c>
      <c r="B12" s="11">
        <v>45816.0</v>
      </c>
      <c r="C12" s="10" t="s">
        <v>53</v>
      </c>
      <c r="D12" s="10" t="s">
        <v>23</v>
      </c>
      <c r="E12" s="10" t="s">
        <v>83</v>
      </c>
      <c r="F12" s="10" t="s">
        <v>54</v>
      </c>
      <c r="G12" s="10" t="s">
        <v>38</v>
      </c>
      <c r="H12" s="10" t="s">
        <v>39</v>
      </c>
      <c r="I12" s="10">
        <v>3.0</v>
      </c>
      <c r="J12" s="10">
        <v>4999.0</v>
      </c>
      <c r="K12" s="10">
        <v>0.15</v>
      </c>
      <c r="L12" s="10" t="s">
        <v>45</v>
      </c>
      <c r="M12" s="10" t="s">
        <v>29</v>
      </c>
      <c r="N12" s="10" t="s">
        <v>30</v>
      </c>
      <c r="O12" s="10" t="s">
        <v>41</v>
      </c>
      <c r="P12" s="10" t="s">
        <v>32</v>
      </c>
      <c r="Q12" s="10"/>
      <c r="R12" s="7">
        <f t="shared" si="1"/>
        <v>14974.5045</v>
      </c>
      <c r="S12" s="8">
        <f t="shared" si="2"/>
        <v>2695.41081</v>
      </c>
      <c r="T12" s="8">
        <f t="shared" si="3"/>
        <v>17669.91531</v>
      </c>
      <c r="U12" s="8" t="str">
        <f t="shared" si="4"/>
        <v>Q2</v>
      </c>
      <c r="V12" s="9"/>
      <c r="W12" s="9"/>
      <c r="X12" s="9"/>
      <c r="Y12" s="9"/>
    </row>
    <row r="13">
      <c r="A13" s="10" t="s">
        <v>84</v>
      </c>
      <c r="B13" s="11">
        <v>45808.0</v>
      </c>
      <c r="C13" s="10" t="s">
        <v>59</v>
      </c>
      <c r="D13" s="10" t="s">
        <v>35</v>
      </c>
      <c r="E13" s="10" t="s">
        <v>85</v>
      </c>
      <c r="F13" s="10" t="s">
        <v>86</v>
      </c>
      <c r="G13" s="10" t="s">
        <v>55</v>
      </c>
      <c r="H13" s="10" t="s">
        <v>56</v>
      </c>
      <c r="I13" s="10">
        <v>1.0</v>
      </c>
      <c r="J13" s="10">
        <v>1499.0</v>
      </c>
      <c r="K13" s="10">
        <v>10.0</v>
      </c>
      <c r="L13" s="10" t="s">
        <v>28</v>
      </c>
      <c r="M13" s="10" t="s">
        <v>29</v>
      </c>
      <c r="N13" s="10" t="s">
        <v>30</v>
      </c>
      <c r="O13" s="10" t="s">
        <v>67</v>
      </c>
      <c r="P13" s="10" t="s">
        <v>87</v>
      </c>
      <c r="Q13" s="10"/>
      <c r="R13" s="7">
        <f t="shared" si="1"/>
        <v>0</v>
      </c>
      <c r="S13" s="8">
        <f t="shared" si="2"/>
        <v>0</v>
      </c>
      <c r="T13" s="8">
        <f t="shared" si="3"/>
        <v>0</v>
      </c>
      <c r="U13" s="8" t="str">
        <f t="shared" si="4"/>
        <v>Q2</v>
      </c>
      <c r="V13" s="9"/>
      <c r="W13" s="9"/>
      <c r="X13" s="9"/>
      <c r="Y13" s="9"/>
    </row>
    <row r="14">
      <c r="A14" s="10" t="s">
        <v>88</v>
      </c>
      <c r="B14" s="11">
        <v>45755.0</v>
      </c>
      <c r="C14" s="10" t="s">
        <v>59</v>
      </c>
      <c r="D14" s="10" t="s">
        <v>80</v>
      </c>
      <c r="E14" s="10" t="s">
        <v>81</v>
      </c>
      <c r="F14" s="10" t="s">
        <v>37</v>
      </c>
      <c r="G14" s="10" t="s">
        <v>55</v>
      </c>
      <c r="H14" s="10" t="s">
        <v>56</v>
      </c>
      <c r="I14" s="10">
        <v>5.0</v>
      </c>
      <c r="J14" s="10">
        <v>1499.0</v>
      </c>
      <c r="K14" s="10">
        <v>0.0</v>
      </c>
      <c r="L14" s="10" t="s">
        <v>45</v>
      </c>
      <c r="M14" s="10" t="s">
        <v>29</v>
      </c>
      <c r="N14" s="10" t="s">
        <v>89</v>
      </c>
      <c r="O14" s="10" t="s">
        <v>31</v>
      </c>
      <c r="P14" s="10" t="s">
        <v>47</v>
      </c>
      <c r="Q14" s="10"/>
      <c r="R14" s="7">
        <f t="shared" si="1"/>
        <v>0</v>
      </c>
      <c r="S14" s="8">
        <f t="shared" si="2"/>
        <v>0</v>
      </c>
      <c r="T14" s="8">
        <f t="shared" si="3"/>
        <v>0</v>
      </c>
      <c r="U14" s="8" t="str">
        <f t="shared" si="4"/>
        <v>Q2</v>
      </c>
      <c r="V14" s="9"/>
      <c r="W14" s="9"/>
      <c r="X14" s="9"/>
      <c r="Y14" s="9"/>
    </row>
    <row r="15">
      <c r="A15" s="10" t="s">
        <v>90</v>
      </c>
      <c r="B15" s="11">
        <v>45706.0</v>
      </c>
      <c r="C15" s="10" t="s">
        <v>91</v>
      </c>
      <c r="D15" s="10" t="s">
        <v>80</v>
      </c>
      <c r="E15" s="10" t="s">
        <v>92</v>
      </c>
      <c r="F15" s="10" t="s">
        <v>86</v>
      </c>
      <c r="G15" s="10" t="s">
        <v>93</v>
      </c>
      <c r="H15" s="10" t="s">
        <v>27</v>
      </c>
      <c r="I15" s="10">
        <v>1.0</v>
      </c>
      <c r="J15" s="10">
        <v>2999.0</v>
      </c>
      <c r="K15" s="10">
        <v>0.1</v>
      </c>
      <c r="L15" s="10" t="s">
        <v>28</v>
      </c>
      <c r="M15" s="10" t="s">
        <v>29</v>
      </c>
      <c r="N15" s="10" t="s">
        <v>94</v>
      </c>
      <c r="O15" s="10" t="s">
        <v>41</v>
      </c>
      <c r="P15" s="10" t="s">
        <v>77</v>
      </c>
      <c r="Q15" s="10"/>
      <c r="R15" s="7">
        <f t="shared" si="1"/>
        <v>0</v>
      </c>
      <c r="S15" s="8">
        <f t="shared" si="2"/>
        <v>0</v>
      </c>
      <c r="T15" s="8">
        <f t="shared" si="3"/>
        <v>0</v>
      </c>
      <c r="U15" s="8" t="str">
        <f t="shared" si="4"/>
        <v>Q1</v>
      </c>
      <c r="V15" s="9"/>
      <c r="W15" s="9"/>
      <c r="X15" s="9"/>
      <c r="Y15" s="9"/>
    </row>
    <row r="16">
      <c r="A16" s="10" t="s">
        <v>95</v>
      </c>
      <c r="B16" s="11">
        <v>45745.0</v>
      </c>
      <c r="C16" s="10" t="s">
        <v>96</v>
      </c>
      <c r="D16" s="10" t="s">
        <v>23</v>
      </c>
      <c r="E16" s="10" t="s">
        <v>24</v>
      </c>
      <c r="F16" s="10" t="s">
        <v>65</v>
      </c>
      <c r="G16" s="10" t="s">
        <v>93</v>
      </c>
      <c r="H16" s="10" t="s">
        <v>27</v>
      </c>
      <c r="I16" s="10">
        <v>1.0</v>
      </c>
      <c r="J16" s="10">
        <v>2999.0</v>
      </c>
      <c r="K16" s="10">
        <v>0.0</v>
      </c>
      <c r="L16" s="10" t="s">
        <v>28</v>
      </c>
      <c r="M16" s="10" t="s">
        <v>29</v>
      </c>
      <c r="N16" s="10" t="s">
        <v>30</v>
      </c>
      <c r="O16" s="10" t="s">
        <v>67</v>
      </c>
      <c r="P16" s="10" t="s">
        <v>87</v>
      </c>
      <c r="Q16" s="10"/>
      <c r="R16" s="7">
        <f t="shared" si="1"/>
        <v>0</v>
      </c>
      <c r="S16" s="8">
        <f t="shared" si="2"/>
        <v>0</v>
      </c>
      <c r="T16" s="8">
        <f t="shared" si="3"/>
        <v>0</v>
      </c>
      <c r="U16" s="8" t="str">
        <f t="shared" si="4"/>
        <v>Q1</v>
      </c>
      <c r="V16" s="9"/>
      <c r="W16" s="9"/>
      <c r="X16" s="9"/>
      <c r="Y16" s="9"/>
    </row>
    <row r="17">
      <c r="A17" s="10" t="s">
        <v>97</v>
      </c>
      <c r="B17" s="11">
        <v>45607.0</v>
      </c>
      <c r="C17" s="10" t="s">
        <v>98</v>
      </c>
      <c r="D17" s="10" t="s">
        <v>23</v>
      </c>
      <c r="E17" s="10" t="s">
        <v>99</v>
      </c>
      <c r="F17" s="10" t="s">
        <v>44</v>
      </c>
      <c r="G17" s="10" t="s">
        <v>66</v>
      </c>
      <c r="H17" s="10" t="s">
        <v>39</v>
      </c>
      <c r="I17" s="10">
        <v>5.0</v>
      </c>
      <c r="J17" s="10">
        <v>14999.0</v>
      </c>
      <c r="K17" s="10">
        <v>10.0</v>
      </c>
      <c r="L17" s="10" t="s">
        <v>45</v>
      </c>
      <c r="M17" s="10" t="s">
        <v>29</v>
      </c>
      <c r="N17" s="10" t="s">
        <v>57</v>
      </c>
      <c r="O17" s="10" t="s">
        <v>41</v>
      </c>
      <c r="P17" s="10" t="s">
        <v>32</v>
      </c>
      <c r="Q17" s="10"/>
      <c r="R17" s="7">
        <f t="shared" si="1"/>
        <v>67495.5</v>
      </c>
      <c r="S17" s="8">
        <f t="shared" si="2"/>
        <v>12149.19</v>
      </c>
      <c r="T17" s="8">
        <f t="shared" si="3"/>
        <v>79644.69</v>
      </c>
      <c r="U17" s="8" t="str">
        <f t="shared" si="4"/>
        <v>Q4</v>
      </c>
      <c r="V17" s="9"/>
      <c r="W17" s="9"/>
      <c r="X17" s="9"/>
      <c r="Y17" s="9"/>
    </row>
    <row r="18">
      <c r="A18" s="10" t="s">
        <v>100</v>
      </c>
      <c r="B18" s="11">
        <v>45652.0</v>
      </c>
      <c r="C18" s="10" t="s">
        <v>101</v>
      </c>
      <c r="D18" s="10" t="s">
        <v>60</v>
      </c>
      <c r="E18" s="10" t="s">
        <v>102</v>
      </c>
      <c r="F18" s="10" t="s">
        <v>103</v>
      </c>
      <c r="G18" s="10" t="s">
        <v>93</v>
      </c>
      <c r="H18" s="10" t="s">
        <v>27</v>
      </c>
      <c r="I18" s="10">
        <v>1.0</v>
      </c>
      <c r="J18" s="10">
        <v>2999.0</v>
      </c>
      <c r="K18" s="10">
        <v>10.0</v>
      </c>
      <c r="L18" s="10" t="s">
        <v>28</v>
      </c>
      <c r="M18" s="10" t="s">
        <v>29</v>
      </c>
      <c r="N18" s="10" t="s">
        <v>40</v>
      </c>
      <c r="O18" s="10" t="s">
        <v>41</v>
      </c>
      <c r="P18" s="10" t="s">
        <v>32</v>
      </c>
      <c r="Q18" s="11">
        <v>46017.0</v>
      </c>
      <c r="R18" s="7">
        <f t="shared" si="1"/>
        <v>2699.1</v>
      </c>
      <c r="S18" s="8">
        <f t="shared" si="2"/>
        <v>411.7271186</v>
      </c>
      <c r="T18" s="8">
        <f t="shared" si="3"/>
        <v>2699.1</v>
      </c>
      <c r="U18" s="8" t="str">
        <f t="shared" si="4"/>
        <v>Q4</v>
      </c>
      <c r="V18" s="9"/>
      <c r="W18" s="9"/>
      <c r="X18" s="9"/>
      <c r="Y18" s="9"/>
    </row>
    <row r="19">
      <c r="A19" s="10" t="s">
        <v>104</v>
      </c>
      <c r="B19" s="11">
        <v>45553.0</v>
      </c>
      <c r="C19" s="10" t="s">
        <v>105</v>
      </c>
      <c r="D19" s="10" t="s">
        <v>23</v>
      </c>
      <c r="E19" s="10" t="s">
        <v>73</v>
      </c>
      <c r="F19" s="10" t="s">
        <v>65</v>
      </c>
      <c r="G19" s="10" t="s">
        <v>106</v>
      </c>
      <c r="H19" s="10" t="s">
        <v>27</v>
      </c>
      <c r="I19" s="10">
        <v>1.0</v>
      </c>
      <c r="J19" s="10">
        <v>999.0</v>
      </c>
      <c r="K19" s="10">
        <v>10.0</v>
      </c>
      <c r="L19" s="10" t="s">
        <v>45</v>
      </c>
      <c r="M19" s="10" t="s">
        <v>29</v>
      </c>
      <c r="N19" s="10" t="s">
        <v>57</v>
      </c>
      <c r="O19" s="10" t="s">
        <v>41</v>
      </c>
      <c r="P19" s="10" t="s">
        <v>32</v>
      </c>
      <c r="Q19" s="11">
        <v>45583.0</v>
      </c>
      <c r="R19" s="7">
        <f t="shared" si="1"/>
        <v>899.1</v>
      </c>
      <c r="S19" s="8">
        <f t="shared" si="2"/>
        <v>161.838</v>
      </c>
      <c r="T19" s="8">
        <f t="shared" si="3"/>
        <v>1060.938</v>
      </c>
      <c r="U19" s="8" t="str">
        <f t="shared" si="4"/>
        <v>Q3</v>
      </c>
      <c r="V19" s="9"/>
      <c r="W19" s="9"/>
      <c r="X19" s="9"/>
      <c r="Y19" s="9"/>
    </row>
    <row r="20">
      <c r="A20" s="10" t="s">
        <v>107</v>
      </c>
      <c r="B20" s="11">
        <v>45608.0</v>
      </c>
      <c r="C20" s="10" t="s">
        <v>59</v>
      </c>
      <c r="D20" s="10" t="s">
        <v>35</v>
      </c>
      <c r="E20" s="10" t="s">
        <v>36</v>
      </c>
      <c r="F20" s="10" t="s">
        <v>51</v>
      </c>
      <c r="G20" s="10" t="s">
        <v>93</v>
      </c>
      <c r="H20" s="10" t="s">
        <v>27</v>
      </c>
      <c r="I20" s="10">
        <v>1.0</v>
      </c>
      <c r="J20" s="10">
        <v>2999.0</v>
      </c>
      <c r="K20" s="10">
        <v>15.0</v>
      </c>
      <c r="L20" s="10" t="s">
        <v>28</v>
      </c>
      <c r="M20" s="10" t="s">
        <v>29</v>
      </c>
      <c r="N20" s="10" t="s">
        <v>70</v>
      </c>
      <c r="O20" s="10" t="s">
        <v>46</v>
      </c>
      <c r="P20" s="10" t="s">
        <v>32</v>
      </c>
      <c r="Q20" s="11">
        <v>45973.0</v>
      </c>
      <c r="R20" s="7">
        <f t="shared" si="1"/>
        <v>2549.15</v>
      </c>
      <c r="S20" s="8">
        <f t="shared" si="2"/>
        <v>388.8533898</v>
      </c>
      <c r="T20" s="8">
        <f t="shared" si="3"/>
        <v>2549.15</v>
      </c>
      <c r="U20" s="8" t="str">
        <f t="shared" si="4"/>
        <v>Q4</v>
      </c>
      <c r="V20" s="9"/>
      <c r="W20" s="9"/>
      <c r="X20" s="9"/>
      <c r="Y20" s="9"/>
    </row>
    <row r="21">
      <c r="A21" s="10" t="s">
        <v>108</v>
      </c>
      <c r="B21" s="11">
        <v>45494.0</v>
      </c>
      <c r="C21" s="10" t="s">
        <v>109</v>
      </c>
      <c r="D21" s="10" t="s">
        <v>60</v>
      </c>
      <c r="E21" s="10" t="s">
        <v>110</v>
      </c>
      <c r="F21" s="10" t="s">
        <v>51</v>
      </c>
      <c r="G21" s="10" t="s">
        <v>93</v>
      </c>
      <c r="H21" s="10" t="s">
        <v>27</v>
      </c>
      <c r="I21" s="10">
        <v>1.0</v>
      </c>
      <c r="J21" s="10">
        <v>2999.0</v>
      </c>
      <c r="K21" s="10">
        <v>5.0</v>
      </c>
      <c r="L21" s="10" t="s">
        <v>45</v>
      </c>
      <c r="M21" s="10" t="s">
        <v>29</v>
      </c>
      <c r="N21" s="10" t="s">
        <v>40</v>
      </c>
      <c r="O21" s="10" t="s">
        <v>67</v>
      </c>
      <c r="P21" s="10" t="s">
        <v>77</v>
      </c>
      <c r="Q21" s="10"/>
      <c r="R21" s="7">
        <f t="shared" si="1"/>
        <v>0</v>
      </c>
      <c r="S21" s="8">
        <f t="shared" si="2"/>
        <v>0</v>
      </c>
      <c r="T21" s="8">
        <f t="shared" si="3"/>
        <v>0</v>
      </c>
      <c r="U21" s="8" t="str">
        <f t="shared" si="4"/>
        <v>Q3</v>
      </c>
      <c r="V21" s="9"/>
      <c r="W21" s="9"/>
      <c r="X21" s="9"/>
      <c r="Y21" s="9"/>
    </row>
    <row r="22">
      <c r="A22" s="10" t="s">
        <v>111</v>
      </c>
      <c r="B22" s="11">
        <v>45684.0</v>
      </c>
      <c r="C22" s="10" t="s">
        <v>72</v>
      </c>
      <c r="D22" s="10" t="s">
        <v>80</v>
      </c>
      <c r="E22" s="10" t="s">
        <v>112</v>
      </c>
      <c r="F22" s="10" t="s">
        <v>113</v>
      </c>
      <c r="G22" s="10" t="s">
        <v>55</v>
      </c>
      <c r="H22" s="10" t="s">
        <v>56</v>
      </c>
      <c r="I22" s="10">
        <v>5.0</v>
      </c>
      <c r="J22" s="10">
        <v>1499.0</v>
      </c>
      <c r="K22" s="10">
        <v>10.0</v>
      </c>
      <c r="L22" s="10" t="s">
        <v>28</v>
      </c>
      <c r="M22" s="10" t="s">
        <v>29</v>
      </c>
      <c r="N22" s="10" t="s">
        <v>114</v>
      </c>
      <c r="O22" s="10" t="s">
        <v>67</v>
      </c>
      <c r="P22" s="10" t="s">
        <v>32</v>
      </c>
      <c r="Q22" s="10"/>
      <c r="R22" s="7">
        <f t="shared" si="1"/>
        <v>6745.5</v>
      </c>
      <c r="S22" s="8">
        <f t="shared" si="2"/>
        <v>1028.974576</v>
      </c>
      <c r="T22" s="8">
        <f t="shared" si="3"/>
        <v>6745.5</v>
      </c>
      <c r="U22" s="8" t="str">
        <f t="shared" si="4"/>
        <v>Q1</v>
      </c>
      <c r="V22" s="9"/>
      <c r="W22" s="9"/>
      <c r="X22" s="9"/>
      <c r="Y22" s="9"/>
    </row>
    <row r="23">
      <c r="A23" s="10" t="s">
        <v>115</v>
      </c>
      <c r="B23" s="11">
        <v>45678.0</v>
      </c>
      <c r="C23" s="10" t="s">
        <v>116</v>
      </c>
      <c r="D23" s="10" t="s">
        <v>60</v>
      </c>
      <c r="E23" s="10" t="s">
        <v>61</v>
      </c>
      <c r="F23" s="10" t="s">
        <v>117</v>
      </c>
      <c r="G23" s="10" t="s">
        <v>106</v>
      </c>
      <c r="H23" s="10" t="s">
        <v>27</v>
      </c>
      <c r="I23" s="10">
        <v>1.0</v>
      </c>
      <c r="J23" s="10">
        <v>999.0</v>
      </c>
      <c r="K23" s="10">
        <v>10.0</v>
      </c>
      <c r="L23" s="10" t="s">
        <v>45</v>
      </c>
      <c r="M23" s="10" t="s">
        <v>29</v>
      </c>
      <c r="N23" s="10" t="s">
        <v>57</v>
      </c>
      <c r="O23" s="10" t="s">
        <v>41</v>
      </c>
      <c r="P23" s="10" t="s">
        <v>32</v>
      </c>
      <c r="Q23" s="11">
        <v>45708.0</v>
      </c>
      <c r="R23" s="7">
        <f t="shared" si="1"/>
        <v>899.1</v>
      </c>
      <c r="S23" s="8">
        <f t="shared" si="2"/>
        <v>161.838</v>
      </c>
      <c r="T23" s="8">
        <f t="shared" si="3"/>
        <v>1060.938</v>
      </c>
      <c r="U23" s="8" t="str">
        <f t="shared" si="4"/>
        <v>Q1</v>
      </c>
      <c r="V23" s="9"/>
      <c r="W23" s="9"/>
      <c r="X23" s="9"/>
      <c r="Y23" s="9"/>
    </row>
    <row r="24">
      <c r="A24" s="10" t="s">
        <v>118</v>
      </c>
      <c r="B24" s="11">
        <v>45634.0</v>
      </c>
      <c r="C24" s="10" t="s">
        <v>119</v>
      </c>
      <c r="D24" s="10" t="s">
        <v>80</v>
      </c>
      <c r="E24" s="10" t="s">
        <v>81</v>
      </c>
      <c r="F24" s="10" t="s">
        <v>65</v>
      </c>
      <c r="G24" s="10" t="s">
        <v>93</v>
      </c>
      <c r="H24" s="10" t="s">
        <v>27</v>
      </c>
      <c r="I24" s="10">
        <v>1.0</v>
      </c>
      <c r="J24" s="10">
        <v>2999.0</v>
      </c>
      <c r="K24" s="10">
        <v>0.0</v>
      </c>
      <c r="L24" s="10" t="s">
        <v>28</v>
      </c>
      <c r="M24" s="10" t="s">
        <v>29</v>
      </c>
      <c r="N24" s="10" t="s">
        <v>76</v>
      </c>
      <c r="O24" s="10" t="s">
        <v>41</v>
      </c>
      <c r="P24" s="10" t="s">
        <v>32</v>
      </c>
      <c r="Q24" s="11">
        <v>45999.0</v>
      </c>
      <c r="R24" s="7">
        <f t="shared" si="1"/>
        <v>2999</v>
      </c>
      <c r="S24" s="8">
        <f t="shared" si="2"/>
        <v>457.4745763</v>
      </c>
      <c r="T24" s="8">
        <f t="shared" si="3"/>
        <v>2999</v>
      </c>
      <c r="U24" s="8" t="str">
        <f t="shared" si="4"/>
        <v>Q4</v>
      </c>
      <c r="V24" s="9"/>
      <c r="W24" s="9"/>
      <c r="X24" s="9"/>
      <c r="Y24" s="9"/>
    </row>
    <row r="25">
      <c r="A25" s="10" t="s">
        <v>120</v>
      </c>
      <c r="B25" s="11">
        <v>45793.0</v>
      </c>
      <c r="C25" s="10" t="s">
        <v>96</v>
      </c>
      <c r="D25" s="10" t="s">
        <v>80</v>
      </c>
      <c r="E25" s="10" t="s">
        <v>81</v>
      </c>
      <c r="F25" s="10" t="s">
        <v>65</v>
      </c>
      <c r="G25" s="10" t="s">
        <v>55</v>
      </c>
      <c r="H25" s="10" t="s">
        <v>56</v>
      </c>
      <c r="I25" s="10">
        <v>1.0</v>
      </c>
      <c r="J25" s="10">
        <v>1499.0</v>
      </c>
      <c r="K25" s="10">
        <v>10.0</v>
      </c>
      <c r="L25" s="10" t="s">
        <v>45</v>
      </c>
      <c r="M25" s="10" t="s">
        <v>29</v>
      </c>
      <c r="N25" s="10" t="s">
        <v>57</v>
      </c>
      <c r="O25" s="10" t="s">
        <v>67</v>
      </c>
      <c r="P25" s="10" t="s">
        <v>32</v>
      </c>
      <c r="Q25" s="10"/>
      <c r="R25" s="7">
        <f t="shared" si="1"/>
        <v>1349.1</v>
      </c>
      <c r="S25" s="8">
        <f t="shared" si="2"/>
        <v>242.838</v>
      </c>
      <c r="T25" s="8">
        <f t="shared" si="3"/>
        <v>1591.938</v>
      </c>
      <c r="U25" s="8" t="str">
        <f t="shared" si="4"/>
        <v>Q2</v>
      </c>
      <c r="V25" s="9"/>
      <c r="W25" s="9"/>
      <c r="X25" s="9"/>
      <c r="Y25" s="9"/>
    </row>
    <row r="26">
      <c r="A26" s="10" t="s">
        <v>121</v>
      </c>
      <c r="B26" s="11">
        <v>45754.0</v>
      </c>
      <c r="C26" s="10" t="s">
        <v>116</v>
      </c>
      <c r="D26" s="10" t="s">
        <v>60</v>
      </c>
      <c r="E26" s="10" t="s">
        <v>122</v>
      </c>
      <c r="F26" s="10" t="s">
        <v>37</v>
      </c>
      <c r="G26" s="10" t="s">
        <v>66</v>
      </c>
      <c r="H26" s="10" t="s">
        <v>39</v>
      </c>
      <c r="I26" s="10">
        <v>1.0</v>
      </c>
      <c r="J26" s="10">
        <v>14999.0</v>
      </c>
      <c r="K26" s="10">
        <v>15.0</v>
      </c>
      <c r="L26" s="10" t="s">
        <v>45</v>
      </c>
      <c r="M26" s="10" t="s">
        <v>29</v>
      </c>
      <c r="N26" s="10" t="s">
        <v>57</v>
      </c>
      <c r="O26" s="10" t="s">
        <v>67</v>
      </c>
      <c r="P26" s="10" t="s">
        <v>62</v>
      </c>
      <c r="Q26" s="10"/>
      <c r="R26" s="7">
        <f t="shared" si="1"/>
        <v>0</v>
      </c>
      <c r="S26" s="8">
        <f t="shared" si="2"/>
        <v>0</v>
      </c>
      <c r="T26" s="8">
        <f t="shared" si="3"/>
        <v>0</v>
      </c>
      <c r="U26" s="8" t="str">
        <f t="shared" si="4"/>
        <v>Q2</v>
      </c>
      <c r="V26" s="9"/>
      <c r="W26" s="9"/>
      <c r="X26" s="9"/>
      <c r="Y26" s="9"/>
    </row>
    <row r="27">
      <c r="A27" s="10" t="s">
        <v>123</v>
      </c>
      <c r="B27" s="11">
        <v>45791.0</v>
      </c>
      <c r="C27" s="10" t="s">
        <v>69</v>
      </c>
      <c r="D27" s="10" t="s">
        <v>60</v>
      </c>
      <c r="E27" s="10" t="s">
        <v>110</v>
      </c>
      <c r="F27" s="10" t="s">
        <v>65</v>
      </c>
      <c r="G27" s="10" t="s">
        <v>66</v>
      </c>
      <c r="H27" s="10" t="s">
        <v>39</v>
      </c>
      <c r="I27" s="10">
        <v>1.0</v>
      </c>
      <c r="J27" s="10">
        <v>14999.0</v>
      </c>
      <c r="K27" s="10">
        <v>5.0</v>
      </c>
      <c r="L27" s="10" t="s">
        <v>28</v>
      </c>
      <c r="M27" s="10" t="s">
        <v>29</v>
      </c>
      <c r="N27" s="10" t="s">
        <v>70</v>
      </c>
      <c r="O27" s="10" t="s">
        <v>41</v>
      </c>
      <c r="P27" s="10" t="s">
        <v>87</v>
      </c>
      <c r="Q27" s="10"/>
      <c r="R27" s="7">
        <f t="shared" si="1"/>
        <v>0</v>
      </c>
      <c r="S27" s="8">
        <f t="shared" si="2"/>
        <v>0</v>
      </c>
      <c r="T27" s="8">
        <f t="shared" si="3"/>
        <v>0</v>
      </c>
      <c r="U27" s="8" t="str">
        <f t="shared" si="4"/>
        <v>Q2</v>
      </c>
      <c r="V27" s="9"/>
      <c r="W27" s="9"/>
      <c r="X27" s="9"/>
      <c r="Y27" s="9"/>
    </row>
    <row r="28">
      <c r="A28" s="10" t="s">
        <v>124</v>
      </c>
      <c r="B28" s="11">
        <v>45809.0</v>
      </c>
      <c r="C28" s="10" t="s">
        <v>125</v>
      </c>
      <c r="D28" s="10" t="s">
        <v>60</v>
      </c>
      <c r="E28" s="10" t="s">
        <v>110</v>
      </c>
      <c r="F28" s="10" t="s">
        <v>86</v>
      </c>
      <c r="G28" s="10" t="s">
        <v>66</v>
      </c>
      <c r="H28" s="10" t="s">
        <v>39</v>
      </c>
      <c r="I28" s="10">
        <v>1.0</v>
      </c>
      <c r="J28" s="10">
        <v>14999.0</v>
      </c>
      <c r="K28" s="10">
        <v>5.0</v>
      </c>
      <c r="L28" s="10" t="s">
        <v>28</v>
      </c>
      <c r="M28" s="10" t="s">
        <v>29</v>
      </c>
      <c r="N28" s="10" t="s">
        <v>57</v>
      </c>
      <c r="O28" s="10" t="s">
        <v>41</v>
      </c>
      <c r="P28" s="10" t="s">
        <v>32</v>
      </c>
      <c r="Q28" s="10"/>
      <c r="R28" s="7">
        <f t="shared" si="1"/>
        <v>14249.05</v>
      </c>
      <c r="S28" s="8">
        <f t="shared" si="2"/>
        <v>2173.583898</v>
      </c>
      <c r="T28" s="8">
        <f t="shared" si="3"/>
        <v>14249.05</v>
      </c>
      <c r="U28" s="8" t="str">
        <f t="shared" si="4"/>
        <v>Q2</v>
      </c>
      <c r="V28" s="9"/>
      <c r="W28" s="9"/>
      <c r="X28" s="9"/>
      <c r="Y28" s="9"/>
    </row>
    <row r="29">
      <c r="A29" s="10" t="s">
        <v>126</v>
      </c>
      <c r="B29" s="11">
        <v>45700.0</v>
      </c>
      <c r="C29" s="10" t="s">
        <v>125</v>
      </c>
      <c r="D29" s="10" t="s">
        <v>80</v>
      </c>
      <c r="E29" s="10" t="s">
        <v>92</v>
      </c>
      <c r="F29" s="10" t="s">
        <v>44</v>
      </c>
      <c r="G29" s="10" t="s">
        <v>66</v>
      </c>
      <c r="H29" s="10" t="s">
        <v>39</v>
      </c>
      <c r="I29" s="10">
        <v>5.0</v>
      </c>
      <c r="J29" s="10">
        <v>14999.0</v>
      </c>
      <c r="K29" s="10">
        <v>15.0</v>
      </c>
      <c r="L29" s="10" t="s">
        <v>28</v>
      </c>
      <c r="M29" s="10" t="s">
        <v>29</v>
      </c>
      <c r="N29" s="10" t="s">
        <v>57</v>
      </c>
      <c r="O29" s="10" t="s">
        <v>31</v>
      </c>
      <c r="P29" s="10" t="s">
        <v>87</v>
      </c>
      <c r="Q29" s="10"/>
      <c r="R29" s="7">
        <f t="shared" si="1"/>
        <v>0</v>
      </c>
      <c r="S29" s="8">
        <f t="shared" si="2"/>
        <v>0</v>
      </c>
      <c r="T29" s="8">
        <f t="shared" si="3"/>
        <v>0</v>
      </c>
      <c r="U29" s="8" t="str">
        <f t="shared" si="4"/>
        <v>Q1</v>
      </c>
      <c r="V29" s="9"/>
      <c r="W29" s="9"/>
      <c r="X29" s="9"/>
      <c r="Y29" s="9"/>
    </row>
    <row r="30">
      <c r="A30" s="10" t="s">
        <v>127</v>
      </c>
      <c r="B30" s="11">
        <v>45794.0</v>
      </c>
      <c r="C30" s="10" t="s">
        <v>34</v>
      </c>
      <c r="D30" s="10" t="s">
        <v>35</v>
      </c>
      <c r="E30" s="10" t="s">
        <v>128</v>
      </c>
      <c r="F30" s="10" t="s">
        <v>51</v>
      </c>
      <c r="G30" s="10" t="s">
        <v>38</v>
      </c>
      <c r="H30" s="10" t="s">
        <v>39</v>
      </c>
      <c r="I30" s="10">
        <v>2.0</v>
      </c>
      <c r="J30" s="10">
        <v>4999.0</v>
      </c>
      <c r="K30" s="10">
        <v>10.0</v>
      </c>
      <c r="L30" s="10" t="s">
        <v>45</v>
      </c>
      <c r="M30" s="10" t="s">
        <v>29</v>
      </c>
      <c r="N30" s="10" t="s">
        <v>40</v>
      </c>
      <c r="O30" s="10" t="s">
        <v>67</v>
      </c>
      <c r="P30" s="10" t="s">
        <v>32</v>
      </c>
      <c r="Q30" s="10"/>
      <c r="R30" s="7">
        <f t="shared" si="1"/>
        <v>8998.2</v>
      </c>
      <c r="S30" s="8">
        <f t="shared" si="2"/>
        <v>1619.676</v>
      </c>
      <c r="T30" s="8">
        <f t="shared" si="3"/>
        <v>10617.876</v>
      </c>
      <c r="U30" s="8" t="str">
        <f t="shared" si="4"/>
        <v>Q2</v>
      </c>
      <c r="V30" s="9"/>
      <c r="W30" s="9"/>
      <c r="X30" s="9"/>
      <c r="Y30" s="9"/>
    </row>
    <row r="31">
      <c r="A31" s="10" t="s">
        <v>129</v>
      </c>
      <c r="B31" s="11">
        <v>45751.0</v>
      </c>
      <c r="C31" s="10" t="s">
        <v>53</v>
      </c>
      <c r="D31" s="10" t="s">
        <v>60</v>
      </c>
      <c r="E31" s="10" t="s">
        <v>110</v>
      </c>
      <c r="F31" s="10" t="s">
        <v>25</v>
      </c>
      <c r="G31" s="10" t="s">
        <v>66</v>
      </c>
      <c r="H31" s="10" t="s">
        <v>39</v>
      </c>
      <c r="I31" s="10">
        <v>1.0</v>
      </c>
      <c r="J31" s="10">
        <v>14999.0</v>
      </c>
      <c r="K31" s="10">
        <v>15.0</v>
      </c>
      <c r="L31" s="10" t="s">
        <v>28</v>
      </c>
      <c r="M31" s="10" t="s">
        <v>29</v>
      </c>
      <c r="N31" s="10" t="s">
        <v>57</v>
      </c>
      <c r="O31" s="10" t="s">
        <v>31</v>
      </c>
      <c r="P31" s="10" t="s">
        <v>32</v>
      </c>
      <c r="Q31" s="10"/>
      <c r="R31" s="7">
        <f t="shared" si="1"/>
        <v>12749.15</v>
      </c>
      <c r="S31" s="8">
        <f t="shared" si="2"/>
        <v>1944.785593</v>
      </c>
      <c r="T31" s="8">
        <f t="shared" si="3"/>
        <v>12749.15</v>
      </c>
      <c r="U31" s="8" t="str">
        <f t="shared" si="4"/>
        <v>Q2</v>
      </c>
      <c r="V31" s="9"/>
      <c r="W31" s="9"/>
      <c r="X31" s="9"/>
      <c r="Y31" s="9"/>
    </row>
    <row r="32">
      <c r="A32" s="10" t="s">
        <v>130</v>
      </c>
      <c r="B32" s="11">
        <v>45688.0</v>
      </c>
      <c r="C32" s="10" t="s">
        <v>131</v>
      </c>
      <c r="D32" s="10" t="s">
        <v>23</v>
      </c>
      <c r="E32" s="10" t="s">
        <v>24</v>
      </c>
      <c r="F32" s="10" t="s">
        <v>86</v>
      </c>
      <c r="G32" s="10" t="s">
        <v>106</v>
      </c>
      <c r="H32" s="10" t="s">
        <v>27</v>
      </c>
      <c r="I32" s="10">
        <v>1.0</v>
      </c>
      <c r="J32" s="10">
        <v>999.0</v>
      </c>
      <c r="K32" s="10">
        <v>0.15</v>
      </c>
      <c r="L32" s="10" t="s">
        <v>45</v>
      </c>
      <c r="M32" s="10" t="s">
        <v>29</v>
      </c>
      <c r="N32" s="10" t="s">
        <v>40</v>
      </c>
      <c r="O32" s="10" t="s">
        <v>31</v>
      </c>
      <c r="P32" s="10" t="s">
        <v>87</v>
      </c>
      <c r="Q32" s="10"/>
      <c r="R32" s="7">
        <f t="shared" si="1"/>
        <v>0</v>
      </c>
      <c r="S32" s="8">
        <f t="shared" si="2"/>
        <v>0</v>
      </c>
      <c r="T32" s="8">
        <f t="shared" si="3"/>
        <v>0</v>
      </c>
      <c r="U32" s="8" t="str">
        <f t="shared" si="4"/>
        <v>Q1</v>
      </c>
      <c r="V32" s="9"/>
      <c r="W32" s="9"/>
      <c r="X32" s="9"/>
      <c r="Y32" s="9"/>
    </row>
    <row r="33">
      <c r="A33" s="10" t="s">
        <v>132</v>
      </c>
      <c r="B33" s="10" t="s">
        <v>133</v>
      </c>
      <c r="C33" s="10" t="s">
        <v>134</v>
      </c>
      <c r="D33" s="10" t="s">
        <v>60</v>
      </c>
      <c r="E33" s="10" t="s">
        <v>110</v>
      </c>
      <c r="F33" s="10" t="s">
        <v>86</v>
      </c>
      <c r="G33" s="10" t="s">
        <v>38</v>
      </c>
      <c r="H33" s="10" t="s">
        <v>39</v>
      </c>
      <c r="I33" s="10">
        <v>2.0</v>
      </c>
      <c r="J33" s="10">
        <v>4999.0</v>
      </c>
      <c r="K33" s="10">
        <v>0.0</v>
      </c>
      <c r="L33" s="10" t="s">
        <v>45</v>
      </c>
      <c r="M33" s="10" t="s">
        <v>29</v>
      </c>
      <c r="N33" s="10" t="s">
        <v>94</v>
      </c>
      <c r="O33" s="10" t="s">
        <v>46</v>
      </c>
      <c r="P33" s="10" t="s">
        <v>32</v>
      </c>
      <c r="Q33" s="10"/>
      <c r="R33" s="7">
        <f t="shared" si="1"/>
        <v>9998</v>
      </c>
      <c r="S33" s="8">
        <f t="shared" si="2"/>
        <v>1799.64</v>
      </c>
      <c r="T33" s="8">
        <f t="shared" si="3"/>
        <v>11797.64</v>
      </c>
      <c r="U33" s="8" t="str">
        <f t="shared" si="4"/>
        <v>Q1</v>
      </c>
      <c r="V33" s="9"/>
      <c r="W33" s="9"/>
      <c r="X33" s="9"/>
      <c r="Y33" s="9"/>
    </row>
    <row r="34">
      <c r="A34" s="10" t="s">
        <v>135</v>
      </c>
      <c r="B34" s="11">
        <v>45616.0</v>
      </c>
      <c r="C34" s="10" t="s">
        <v>43</v>
      </c>
      <c r="D34" s="10" t="s">
        <v>35</v>
      </c>
      <c r="E34" s="10" t="s">
        <v>128</v>
      </c>
      <c r="F34" s="10" t="s">
        <v>51</v>
      </c>
      <c r="G34" s="10" t="s">
        <v>55</v>
      </c>
      <c r="H34" s="10" t="s">
        <v>56</v>
      </c>
      <c r="I34" s="10">
        <v>2.0</v>
      </c>
      <c r="J34" s="10">
        <v>1499.0</v>
      </c>
      <c r="K34" s="10">
        <v>0.0</v>
      </c>
      <c r="L34" s="10" t="s">
        <v>28</v>
      </c>
      <c r="M34" s="10" t="s">
        <v>29</v>
      </c>
      <c r="N34" s="10" t="s">
        <v>57</v>
      </c>
      <c r="O34" s="10" t="s">
        <v>41</v>
      </c>
      <c r="P34" s="10" t="s">
        <v>32</v>
      </c>
      <c r="Q34" s="10"/>
      <c r="R34" s="7">
        <f t="shared" si="1"/>
        <v>2998</v>
      </c>
      <c r="S34" s="8">
        <f t="shared" si="2"/>
        <v>457.3220339</v>
      </c>
      <c r="T34" s="8">
        <f t="shared" si="3"/>
        <v>2998</v>
      </c>
      <c r="U34" s="8" t="str">
        <f t="shared" si="4"/>
        <v>Q4</v>
      </c>
      <c r="V34" s="9"/>
      <c r="W34" s="9"/>
      <c r="X34" s="9"/>
      <c r="Y34" s="9"/>
    </row>
    <row r="35">
      <c r="A35" s="10" t="s">
        <v>136</v>
      </c>
      <c r="B35" s="11">
        <v>45716.0</v>
      </c>
      <c r="C35" s="10" t="s">
        <v>98</v>
      </c>
      <c r="D35" s="10" t="s">
        <v>23</v>
      </c>
      <c r="E35" s="10" t="s">
        <v>73</v>
      </c>
      <c r="F35" s="10" t="s">
        <v>65</v>
      </c>
      <c r="G35" s="10" t="s">
        <v>26</v>
      </c>
      <c r="H35" s="10" t="s">
        <v>27</v>
      </c>
      <c r="I35" s="10">
        <v>1.0</v>
      </c>
      <c r="J35" s="10">
        <v>9999.0</v>
      </c>
      <c r="K35" s="10">
        <v>5.0</v>
      </c>
      <c r="L35" s="10" t="s">
        <v>28</v>
      </c>
      <c r="M35" s="10" t="s">
        <v>29</v>
      </c>
      <c r="N35" s="10" t="s">
        <v>40</v>
      </c>
      <c r="O35" s="10" t="s">
        <v>41</v>
      </c>
      <c r="P35" s="10" t="s">
        <v>32</v>
      </c>
      <c r="Q35" s="11">
        <v>45746.0</v>
      </c>
      <c r="R35" s="7">
        <f t="shared" si="1"/>
        <v>9499.05</v>
      </c>
      <c r="S35" s="8">
        <f t="shared" si="2"/>
        <v>1449.007627</v>
      </c>
      <c r="T35" s="8">
        <f t="shared" si="3"/>
        <v>9499.05</v>
      </c>
      <c r="U35" s="8" t="str">
        <f t="shared" si="4"/>
        <v>Q1</v>
      </c>
      <c r="V35" s="9"/>
      <c r="W35" s="9"/>
      <c r="X35" s="9"/>
      <c r="Y35" s="9"/>
    </row>
    <row r="36">
      <c r="A36" s="10" t="s">
        <v>137</v>
      </c>
      <c r="B36" s="11">
        <v>45677.0</v>
      </c>
      <c r="C36" s="10" t="s">
        <v>105</v>
      </c>
      <c r="D36" s="10" t="s">
        <v>23</v>
      </c>
      <c r="E36" s="10" t="s">
        <v>83</v>
      </c>
      <c r="F36" s="10" t="s">
        <v>44</v>
      </c>
      <c r="G36" s="10" t="s">
        <v>106</v>
      </c>
      <c r="H36" s="10" t="s">
        <v>27</v>
      </c>
      <c r="I36" s="10">
        <v>1.0</v>
      </c>
      <c r="J36" s="10">
        <v>999.0</v>
      </c>
      <c r="K36" s="10">
        <v>0.15</v>
      </c>
      <c r="L36" s="10" t="s">
        <v>28</v>
      </c>
      <c r="M36" s="10" t="s">
        <v>29</v>
      </c>
      <c r="N36" s="10" t="s">
        <v>57</v>
      </c>
      <c r="O36" s="10" t="s">
        <v>41</v>
      </c>
      <c r="P36" s="10" t="s">
        <v>77</v>
      </c>
      <c r="Q36" s="10"/>
      <c r="R36" s="7">
        <f t="shared" si="1"/>
        <v>0</v>
      </c>
      <c r="S36" s="8">
        <f t="shared" si="2"/>
        <v>0</v>
      </c>
      <c r="T36" s="8">
        <f t="shared" si="3"/>
        <v>0</v>
      </c>
      <c r="U36" s="8" t="str">
        <f t="shared" si="4"/>
        <v>Q1</v>
      </c>
      <c r="V36" s="9"/>
      <c r="W36" s="9"/>
      <c r="X36" s="9"/>
      <c r="Y36" s="9"/>
    </row>
    <row r="37">
      <c r="A37" s="10" t="s">
        <v>138</v>
      </c>
      <c r="B37" s="11">
        <v>45480.0</v>
      </c>
      <c r="C37" s="10" t="s">
        <v>98</v>
      </c>
      <c r="D37" s="10" t="s">
        <v>35</v>
      </c>
      <c r="E37" s="10" t="s">
        <v>85</v>
      </c>
      <c r="F37" s="10" t="s">
        <v>54</v>
      </c>
      <c r="G37" s="10" t="s">
        <v>66</v>
      </c>
      <c r="H37" s="10" t="s">
        <v>39</v>
      </c>
      <c r="I37" s="10">
        <v>2.0</v>
      </c>
      <c r="J37" s="10">
        <v>14999.0</v>
      </c>
      <c r="K37" s="10">
        <v>10.0</v>
      </c>
      <c r="L37" s="10" t="s">
        <v>45</v>
      </c>
      <c r="M37" s="10" t="s">
        <v>29</v>
      </c>
      <c r="N37" s="10" t="s">
        <v>40</v>
      </c>
      <c r="O37" s="10" t="s">
        <v>46</v>
      </c>
      <c r="P37" s="10" t="s">
        <v>77</v>
      </c>
      <c r="Q37" s="10"/>
      <c r="R37" s="7">
        <f t="shared" si="1"/>
        <v>0</v>
      </c>
      <c r="S37" s="8">
        <f t="shared" si="2"/>
        <v>0</v>
      </c>
      <c r="T37" s="8">
        <f t="shared" si="3"/>
        <v>0</v>
      </c>
      <c r="U37" s="8" t="str">
        <f t="shared" si="4"/>
        <v>Q3</v>
      </c>
      <c r="V37" s="9"/>
      <c r="W37" s="9"/>
      <c r="X37" s="9"/>
      <c r="Y37" s="9"/>
    </row>
    <row r="38">
      <c r="A38" s="10" t="s">
        <v>139</v>
      </c>
      <c r="B38" s="11">
        <v>45518.0</v>
      </c>
      <c r="C38" s="10" t="s">
        <v>96</v>
      </c>
      <c r="D38" s="10" t="s">
        <v>60</v>
      </c>
      <c r="E38" s="10" t="s">
        <v>122</v>
      </c>
      <c r="F38" s="10" t="s">
        <v>44</v>
      </c>
      <c r="G38" s="10" t="s">
        <v>55</v>
      </c>
      <c r="H38" s="10" t="s">
        <v>56</v>
      </c>
      <c r="I38" s="10">
        <v>2.0</v>
      </c>
      <c r="J38" s="10">
        <v>1499.0</v>
      </c>
      <c r="K38" s="10">
        <v>20.0</v>
      </c>
      <c r="L38" s="10" t="s">
        <v>28</v>
      </c>
      <c r="M38" s="10" t="s">
        <v>29</v>
      </c>
      <c r="N38" s="10" t="s">
        <v>57</v>
      </c>
      <c r="O38" s="10" t="s">
        <v>46</v>
      </c>
      <c r="P38" s="10" t="s">
        <v>32</v>
      </c>
      <c r="Q38" s="10"/>
      <c r="R38" s="7">
        <f t="shared" si="1"/>
        <v>2398.4</v>
      </c>
      <c r="S38" s="8">
        <f t="shared" si="2"/>
        <v>365.8576271</v>
      </c>
      <c r="T38" s="8">
        <f t="shared" si="3"/>
        <v>2398.4</v>
      </c>
      <c r="U38" s="8" t="str">
        <f t="shared" si="4"/>
        <v>Q3</v>
      </c>
      <c r="V38" s="9"/>
      <c r="W38" s="9"/>
      <c r="X38" s="9"/>
      <c r="Y38" s="9"/>
    </row>
    <row r="39">
      <c r="A39" s="10" t="s">
        <v>140</v>
      </c>
      <c r="B39" s="11">
        <v>45833.0</v>
      </c>
      <c r="C39" s="10" t="s">
        <v>141</v>
      </c>
      <c r="D39" s="10" t="s">
        <v>60</v>
      </c>
      <c r="E39" s="10" t="s">
        <v>110</v>
      </c>
      <c r="F39" s="10" t="s">
        <v>51</v>
      </c>
      <c r="G39" s="10" t="s">
        <v>106</v>
      </c>
      <c r="H39" s="10" t="s">
        <v>27</v>
      </c>
      <c r="I39" s="10">
        <v>1.0</v>
      </c>
      <c r="J39" s="10">
        <v>999.0</v>
      </c>
      <c r="K39" s="10">
        <v>0.1</v>
      </c>
      <c r="L39" s="10" t="s">
        <v>45</v>
      </c>
      <c r="M39" s="10" t="s">
        <v>29</v>
      </c>
      <c r="N39" s="10" t="s">
        <v>30</v>
      </c>
      <c r="O39" s="10" t="s">
        <v>67</v>
      </c>
      <c r="P39" s="10" t="s">
        <v>47</v>
      </c>
      <c r="Q39" s="10"/>
      <c r="R39" s="7">
        <f t="shared" si="1"/>
        <v>0</v>
      </c>
      <c r="S39" s="8">
        <f t="shared" si="2"/>
        <v>0</v>
      </c>
      <c r="T39" s="8">
        <f t="shared" si="3"/>
        <v>0</v>
      </c>
      <c r="U39" s="8" t="str">
        <f t="shared" si="4"/>
        <v>Q2</v>
      </c>
      <c r="V39" s="9"/>
      <c r="W39" s="9"/>
      <c r="X39" s="9"/>
      <c r="Y39" s="9"/>
    </row>
    <row r="40">
      <c r="A40" s="10" t="s">
        <v>142</v>
      </c>
      <c r="B40" s="11">
        <v>45828.0</v>
      </c>
      <c r="C40" s="10" t="s">
        <v>131</v>
      </c>
      <c r="D40" s="10" t="s">
        <v>60</v>
      </c>
      <c r="E40" s="10" t="s">
        <v>122</v>
      </c>
      <c r="F40" s="10" t="s">
        <v>74</v>
      </c>
      <c r="G40" s="10" t="s">
        <v>38</v>
      </c>
      <c r="H40" s="10" t="s">
        <v>39</v>
      </c>
      <c r="I40" s="10">
        <v>5.0</v>
      </c>
      <c r="J40" s="10">
        <v>4999.0</v>
      </c>
      <c r="K40" s="10">
        <v>20.0</v>
      </c>
      <c r="L40" s="10" t="s">
        <v>45</v>
      </c>
      <c r="M40" s="10" t="s">
        <v>29</v>
      </c>
      <c r="N40" s="10" t="s">
        <v>40</v>
      </c>
      <c r="O40" s="10" t="s">
        <v>31</v>
      </c>
      <c r="P40" s="10" t="s">
        <v>32</v>
      </c>
      <c r="Q40" s="10"/>
      <c r="R40" s="7">
        <f t="shared" si="1"/>
        <v>19996</v>
      </c>
      <c r="S40" s="8">
        <f t="shared" si="2"/>
        <v>3599.28</v>
      </c>
      <c r="T40" s="8">
        <f t="shared" si="3"/>
        <v>23595.28</v>
      </c>
      <c r="U40" s="8" t="str">
        <f t="shared" si="4"/>
        <v>Q2</v>
      </c>
      <c r="V40" s="9"/>
      <c r="W40" s="9"/>
      <c r="X40" s="9"/>
      <c r="Y40" s="9"/>
    </row>
    <row r="41">
      <c r="A41" s="10" t="s">
        <v>143</v>
      </c>
      <c r="B41" s="11">
        <v>45748.0</v>
      </c>
      <c r="C41" s="10" t="s">
        <v>144</v>
      </c>
      <c r="D41" s="10" t="s">
        <v>35</v>
      </c>
      <c r="E41" s="10" t="s">
        <v>50</v>
      </c>
      <c r="F41" s="10" t="s">
        <v>65</v>
      </c>
      <c r="G41" s="10" t="s">
        <v>26</v>
      </c>
      <c r="H41" s="10" t="s">
        <v>27</v>
      </c>
      <c r="I41" s="10">
        <v>1.0</v>
      </c>
      <c r="J41" s="10">
        <v>9999.0</v>
      </c>
      <c r="K41" s="10">
        <v>5.0</v>
      </c>
      <c r="L41" s="10" t="s">
        <v>45</v>
      </c>
      <c r="M41" s="10" t="s">
        <v>29</v>
      </c>
      <c r="N41" s="10" t="s">
        <v>40</v>
      </c>
      <c r="O41" s="10" t="s">
        <v>46</v>
      </c>
      <c r="P41" s="10" t="s">
        <v>32</v>
      </c>
      <c r="Q41" s="11">
        <v>45778.0</v>
      </c>
      <c r="R41" s="7">
        <f t="shared" si="1"/>
        <v>9499.05</v>
      </c>
      <c r="S41" s="8">
        <f t="shared" si="2"/>
        <v>1709.829</v>
      </c>
      <c r="T41" s="8">
        <f t="shared" si="3"/>
        <v>11208.879</v>
      </c>
      <c r="U41" s="8" t="str">
        <f t="shared" si="4"/>
        <v>Q2</v>
      </c>
      <c r="V41" s="9"/>
      <c r="W41" s="9"/>
      <c r="X41" s="9"/>
      <c r="Y41" s="9"/>
    </row>
    <row r="42">
      <c r="A42" s="10" t="s">
        <v>145</v>
      </c>
      <c r="B42" s="11">
        <v>45538.0</v>
      </c>
      <c r="C42" s="10" t="s">
        <v>116</v>
      </c>
      <c r="D42" s="10" t="s">
        <v>35</v>
      </c>
      <c r="E42" s="10" t="s">
        <v>128</v>
      </c>
      <c r="F42" s="10" t="s">
        <v>37</v>
      </c>
      <c r="G42" s="10" t="s">
        <v>106</v>
      </c>
      <c r="H42" s="10" t="s">
        <v>27</v>
      </c>
      <c r="I42" s="10">
        <v>1.0</v>
      </c>
      <c r="J42" s="10">
        <v>999.0</v>
      </c>
      <c r="K42" s="10">
        <v>0.1</v>
      </c>
      <c r="L42" s="10" t="s">
        <v>45</v>
      </c>
      <c r="M42" s="10" t="s">
        <v>29</v>
      </c>
      <c r="N42" s="10" t="s">
        <v>30</v>
      </c>
      <c r="O42" s="10" t="s">
        <v>41</v>
      </c>
      <c r="P42" s="10" t="s">
        <v>32</v>
      </c>
      <c r="Q42" s="11">
        <v>45903.0</v>
      </c>
      <c r="R42" s="7">
        <f t="shared" si="1"/>
        <v>998.001</v>
      </c>
      <c r="S42" s="8">
        <f t="shared" si="2"/>
        <v>179.64018</v>
      </c>
      <c r="T42" s="8">
        <f t="shared" si="3"/>
        <v>1177.64118</v>
      </c>
      <c r="U42" s="8" t="str">
        <f t="shared" si="4"/>
        <v>Q3</v>
      </c>
      <c r="V42" s="9"/>
      <c r="W42" s="9"/>
      <c r="X42" s="9"/>
      <c r="Y42" s="9"/>
    </row>
    <row r="43">
      <c r="A43" s="10" t="s">
        <v>146</v>
      </c>
      <c r="B43" s="11">
        <v>45718.0</v>
      </c>
      <c r="C43" s="10" t="s">
        <v>147</v>
      </c>
      <c r="D43" s="10" t="s">
        <v>60</v>
      </c>
      <c r="E43" s="10" t="s">
        <v>122</v>
      </c>
      <c r="F43" s="10" t="s">
        <v>148</v>
      </c>
      <c r="G43" s="10" t="s">
        <v>55</v>
      </c>
      <c r="H43" s="10" t="s">
        <v>56</v>
      </c>
      <c r="I43" s="10">
        <v>1.0</v>
      </c>
      <c r="J43" s="10">
        <v>1499.0</v>
      </c>
      <c r="K43" s="10">
        <v>0.0</v>
      </c>
      <c r="L43" s="10" t="s">
        <v>28</v>
      </c>
      <c r="M43" s="10" t="s">
        <v>29</v>
      </c>
      <c r="N43" s="10" t="s">
        <v>114</v>
      </c>
      <c r="O43" s="10" t="s">
        <v>46</v>
      </c>
      <c r="P43" s="10" t="s">
        <v>32</v>
      </c>
      <c r="Q43" s="10"/>
      <c r="R43" s="7">
        <f t="shared" si="1"/>
        <v>1499</v>
      </c>
      <c r="S43" s="8">
        <f t="shared" si="2"/>
        <v>228.6610169</v>
      </c>
      <c r="T43" s="8">
        <f t="shared" si="3"/>
        <v>1499</v>
      </c>
      <c r="U43" s="8" t="str">
        <f t="shared" si="4"/>
        <v>Q1</v>
      </c>
      <c r="V43" s="9"/>
      <c r="W43" s="9"/>
      <c r="X43" s="9"/>
      <c r="Y43" s="9"/>
    </row>
    <row r="44">
      <c r="A44" s="10" t="s">
        <v>149</v>
      </c>
      <c r="B44" s="11">
        <v>45589.0</v>
      </c>
      <c r="C44" s="10" t="s">
        <v>150</v>
      </c>
      <c r="D44" s="10" t="s">
        <v>80</v>
      </c>
      <c r="E44" s="10" t="s">
        <v>151</v>
      </c>
      <c r="F44" s="10" t="s">
        <v>86</v>
      </c>
      <c r="G44" s="10" t="s">
        <v>75</v>
      </c>
      <c r="H44" s="10" t="s">
        <v>56</v>
      </c>
      <c r="I44" s="10">
        <v>2.0</v>
      </c>
      <c r="J44" s="10">
        <v>799.0</v>
      </c>
      <c r="K44" s="10">
        <v>20.0</v>
      </c>
      <c r="L44" s="10" t="s">
        <v>28</v>
      </c>
      <c r="M44" s="10" t="s">
        <v>29</v>
      </c>
      <c r="N44" s="10" t="s">
        <v>57</v>
      </c>
      <c r="O44" s="10" t="s">
        <v>41</v>
      </c>
      <c r="P44" s="10" t="s">
        <v>32</v>
      </c>
      <c r="Q44" s="10"/>
      <c r="R44" s="7">
        <f t="shared" si="1"/>
        <v>1278.4</v>
      </c>
      <c r="S44" s="8">
        <f t="shared" si="2"/>
        <v>195.0101695</v>
      </c>
      <c r="T44" s="8">
        <f t="shared" si="3"/>
        <v>1278.4</v>
      </c>
      <c r="U44" s="8" t="str">
        <f t="shared" si="4"/>
        <v>Q4</v>
      </c>
      <c r="V44" s="9"/>
      <c r="W44" s="9"/>
      <c r="X44" s="9"/>
      <c r="Y44" s="9"/>
    </row>
    <row r="45">
      <c r="A45" s="10" t="s">
        <v>152</v>
      </c>
      <c r="B45" s="11">
        <v>45512.0</v>
      </c>
      <c r="C45" s="10" t="s">
        <v>153</v>
      </c>
      <c r="D45" s="10" t="s">
        <v>80</v>
      </c>
      <c r="E45" s="10" t="s">
        <v>112</v>
      </c>
      <c r="F45" s="10" t="s">
        <v>113</v>
      </c>
      <c r="G45" s="10" t="s">
        <v>106</v>
      </c>
      <c r="H45" s="10" t="s">
        <v>27</v>
      </c>
      <c r="I45" s="10">
        <v>1.0</v>
      </c>
      <c r="J45" s="10">
        <v>999.0</v>
      </c>
      <c r="K45" s="10">
        <v>0.15</v>
      </c>
      <c r="L45" s="10" t="s">
        <v>28</v>
      </c>
      <c r="M45" s="10" t="s">
        <v>29</v>
      </c>
      <c r="N45" s="10" t="s">
        <v>30</v>
      </c>
      <c r="O45" s="10" t="s">
        <v>31</v>
      </c>
      <c r="P45" s="10" t="s">
        <v>32</v>
      </c>
      <c r="Q45" s="11">
        <v>45542.0</v>
      </c>
      <c r="R45" s="7">
        <f t="shared" si="1"/>
        <v>997.5015</v>
      </c>
      <c r="S45" s="8">
        <f t="shared" si="2"/>
        <v>152.1612458</v>
      </c>
      <c r="T45" s="8">
        <f t="shared" si="3"/>
        <v>997.5015</v>
      </c>
      <c r="U45" s="8" t="str">
        <f t="shared" si="4"/>
        <v>Q3</v>
      </c>
      <c r="V45" s="9"/>
      <c r="W45" s="9"/>
      <c r="X45" s="9"/>
      <c r="Y45" s="9"/>
    </row>
    <row r="46">
      <c r="A46" s="10" t="s">
        <v>154</v>
      </c>
      <c r="B46" s="11">
        <v>45610.0</v>
      </c>
      <c r="C46" s="10" t="s">
        <v>53</v>
      </c>
      <c r="D46" s="10" t="s">
        <v>35</v>
      </c>
      <c r="E46" s="10" t="s">
        <v>128</v>
      </c>
      <c r="F46" s="10" t="s">
        <v>65</v>
      </c>
      <c r="G46" s="10" t="s">
        <v>55</v>
      </c>
      <c r="H46" s="10" t="s">
        <v>56</v>
      </c>
      <c r="I46" s="10">
        <v>1.0</v>
      </c>
      <c r="J46" s="10">
        <v>1499.0</v>
      </c>
      <c r="K46" s="10">
        <v>10.0</v>
      </c>
      <c r="L46" s="10" t="s">
        <v>45</v>
      </c>
      <c r="M46" s="10" t="s">
        <v>29</v>
      </c>
      <c r="N46" s="10" t="s">
        <v>57</v>
      </c>
      <c r="O46" s="10" t="s">
        <v>46</v>
      </c>
      <c r="P46" s="10" t="s">
        <v>32</v>
      </c>
      <c r="Q46" s="10"/>
      <c r="R46" s="7">
        <f t="shared" si="1"/>
        <v>1349.1</v>
      </c>
      <c r="S46" s="8">
        <f t="shared" si="2"/>
        <v>242.838</v>
      </c>
      <c r="T46" s="8">
        <f t="shared" si="3"/>
        <v>1591.938</v>
      </c>
      <c r="U46" s="8" t="str">
        <f t="shared" si="4"/>
        <v>Q4</v>
      </c>
      <c r="V46" s="9"/>
      <c r="W46" s="9"/>
      <c r="X46" s="9"/>
      <c r="Y46" s="9"/>
    </row>
    <row r="47">
      <c r="A47" s="10" t="s">
        <v>97</v>
      </c>
      <c r="B47" s="11">
        <v>45607.0</v>
      </c>
      <c r="C47" s="10" t="s">
        <v>98</v>
      </c>
      <c r="D47" s="10" t="s">
        <v>23</v>
      </c>
      <c r="E47" s="10" t="s">
        <v>155</v>
      </c>
      <c r="F47" s="10" t="s">
        <v>44</v>
      </c>
      <c r="G47" s="10" t="s">
        <v>66</v>
      </c>
      <c r="H47" s="10" t="s">
        <v>39</v>
      </c>
      <c r="I47" s="10">
        <v>6.0</v>
      </c>
      <c r="J47" s="10">
        <v>14999.0</v>
      </c>
      <c r="K47" s="10">
        <v>10.0</v>
      </c>
      <c r="L47" s="10" t="s">
        <v>45</v>
      </c>
      <c r="M47" s="10" t="s">
        <v>29</v>
      </c>
      <c r="N47" s="10" t="s">
        <v>57</v>
      </c>
      <c r="O47" s="10" t="s">
        <v>41</v>
      </c>
      <c r="P47" s="10" t="s">
        <v>32</v>
      </c>
      <c r="Q47" s="10"/>
      <c r="R47" s="7">
        <f t="shared" si="1"/>
        <v>80994.6</v>
      </c>
      <c r="S47" s="8">
        <f t="shared" si="2"/>
        <v>14579.028</v>
      </c>
      <c r="T47" s="8">
        <f t="shared" si="3"/>
        <v>95573.628</v>
      </c>
      <c r="U47" s="8" t="str">
        <f t="shared" si="4"/>
        <v>Q4</v>
      </c>
      <c r="V47" s="9"/>
      <c r="W47" s="9"/>
      <c r="X47" s="9"/>
      <c r="Y47" s="9"/>
    </row>
    <row r="48">
      <c r="A48" s="10" t="s">
        <v>156</v>
      </c>
      <c r="B48" s="11">
        <v>45639.0</v>
      </c>
      <c r="C48" s="10" t="s">
        <v>157</v>
      </c>
      <c r="D48" s="10" t="s">
        <v>35</v>
      </c>
      <c r="E48" s="10" t="s">
        <v>85</v>
      </c>
      <c r="F48" s="10" t="s">
        <v>65</v>
      </c>
      <c r="G48" s="10" t="s">
        <v>55</v>
      </c>
      <c r="H48" s="10" t="s">
        <v>56</v>
      </c>
      <c r="I48" s="10">
        <v>1.0</v>
      </c>
      <c r="J48" s="10">
        <v>1499.0</v>
      </c>
      <c r="K48" s="10">
        <v>0.15</v>
      </c>
      <c r="L48" s="10" t="s">
        <v>28</v>
      </c>
      <c r="M48" s="10" t="s">
        <v>29</v>
      </c>
      <c r="N48" s="10" t="s">
        <v>30</v>
      </c>
      <c r="O48" s="10" t="s">
        <v>67</v>
      </c>
      <c r="P48" s="10" t="s">
        <v>32</v>
      </c>
      <c r="Q48" s="10"/>
      <c r="R48" s="7">
        <f t="shared" si="1"/>
        <v>1496.7515</v>
      </c>
      <c r="S48" s="8">
        <f t="shared" si="2"/>
        <v>228.3180254</v>
      </c>
      <c r="T48" s="8">
        <f t="shared" si="3"/>
        <v>1496.7515</v>
      </c>
      <c r="U48" s="8" t="str">
        <f t="shared" si="4"/>
        <v>Q4</v>
      </c>
      <c r="V48" s="9"/>
      <c r="W48" s="9"/>
      <c r="X48" s="9"/>
      <c r="Y48" s="9"/>
    </row>
    <row r="49">
      <c r="A49" s="10" t="s">
        <v>158</v>
      </c>
      <c r="B49" s="11">
        <v>45520.0</v>
      </c>
      <c r="C49" s="10" t="s">
        <v>131</v>
      </c>
      <c r="D49" s="10" t="s">
        <v>60</v>
      </c>
      <c r="E49" s="10" t="s">
        <v>61</v>
      </c>
      <c r="F49" s="10" t="s">
        <v>44</v>
      </c>
      <c r="G49" s="10" t="s">
        <v>26</v>
      </c>
      <c r="H49" s="10" t="s">
        <v>27</v>
      </c>
      <c r="I49" s="10">
        <v>1.0</v>
      </c>
      <c r="J49" s="10">
        <v>9999.0</v>
      </c>
      <c r="K49" s="10">
        <v>10.0</v>
      </c>
      <c r="L49" s="10" t="s">
        <v>45</v>
      </c>
      <c r="M49" s="10" t="s">
        <v>29</v>
      </c>
      <c r="N49" s="10" t="s">
        <v>30</v>
      </c>
      <c r="O49" s="10" t="s">
        <v>31</v>
      </c>
      <c r="P49" s="10" t="s">
        <v>77</v>
      </c>
      <c r="Q49" s="10"/>
      <c r="R49" s="7">
        <f t="shared" si="1"/>
        <v>0</v>
      </c>
      <c r="S49" s="8">
        <f t="shared" si="2"/>
        <v>0</v>
      </c>
      <c r="T49" s="8">
        <f t="shared" si="3"/>
        <v>0</v>
      </c>
      <c r="U49" s="8" t="str">
        <f t="shared" si="4"/>
        <v>Q3</v>
      </c>
      <c r="V49" s="9"/>
      <c r="W49" s="9"/>
      <c r="X49" s="9"/>
      <c r="Y49" s="9"/>
    </row>
    <row r="50">
      <c r="A50" s="10" t="s">
        <v>159</v>
      </c>
      <c r="B50" s="11">
        <v>45680.0</v>
      </c>
      <c r="C50" s="10" t="s">
        <v>98</v>
      </c>
      <c r="D50" s="10" t="s">
        <v>60</v>
      </c>
      <c r="E50" s="10" t="s">
        <v>102</v>
      </c>
      <c r="F50" s="10" t="s">
        <v>51</v>
      </c>
      <c r="G50" s="10" t="s">
        <v>106</v>
      </c>
      <c r="H50" s="10" t="s">
        <v>27</v>
      </c>
      <c r="I50" s="10">
        <v>1.0</v>
      </c>
      <c r="J50" s="10">
        <v>999.0</v>
      </c>
      <c r="K50" s="10">
        <v>0.0</v>
      </c>
      <c r="L50" s="10" t="s">
        <v>28</v>
      </c>
      <c r="M50" s="10" t="s">
        <v>29</v>
      </c>
      <c r="N50" s="10" t="s">
        <v>57</v>
      </c>
      <c r="O50" s="10" t="s">
        <v>46</v>
      </c>
      <c r="P50" s="10" t="s">
        <v>77</v>
      </c>
      <c r="Q50" s="10"/>
      <c r="R50" s="7">
        <f t="shared" si="1"/>
        <v>0</v>
      </c>
      <c r="S50" s="8">
        <f t="shared" si="2"/>
        <v>0</v>
      </c>
      <c r="T50" s="8">
        <f t="shared" si="3"/>
        <v>0</v>
      </c>
      <c r="U50" s="8" t="str">
        <f t="shared" si="4"/>
        <v>Q1</v>
      </c>
      <c r="V50" s="9"/>
      <c r="W50" s="9"/>
      <c r="X50" s="9"/>
      <c r="Y50" s="9"/>
    </row>
    <row r="51">
      <c r="A51" s="10" t="s">
        <v>160</v>
      </c>
      <c r="B51" s="11">
        <v>45698.0</v>
      </c>
      <c r="C51" s="10" t="s">
        <v>161</v>
      </c>
      <c r="D51" s="10" t="s">
        <v>60</v>
      </c>
      <c r="E51" s="10" t="s">
        <v>102</v>
      </c>
      <c r="F51" s="10" t="s">
        <v>51</v>
      </c>
      <c r="G51" s="10" t="s">
        <v>26</v>
      </c>
      <c r="H51" s="10" t="s">
        <v>27</v>
      </c>
      <c r="I51" s="10">
        <v>1.0</v>
      </c>
      <c r="J51" s="10">
        <v>9999.0</v>
      </c>
      <c r="K51" s="10">
        <v>0.0</v>
      </c>
      <c r="L51" s="10" t="s">
        <v>28</v>
      </c>
      <c r="M51" s="10" t="s">
        <v>29</v>
      </c>
      <c r="N51" s="10" t="s">
        <v>57</v>
      </c>
      <c r="O51" s="10" t="s">
        <v>41</v>
      </c>
      <c r="P51" s="10" t="s">
        <v>47</v>
      </c>
      <c r="Q51" s="10"/>
      <c r="R51" s="7">
        <f t="shared" si="1"/>
        <v>0</v>
      </c>
      <c r="S51" s="8">
        <f t="shared" si="2"/>
        <v>0</v>
      </c>
      <c r="T51" s="8">
        <f t="shared" si="3"/>
        <v>0</v>
      </c>
      <c r="U51" s="8" t="str">
        <f t="shared" si="4"/>
        <v>Q1</v>
      </c>
      <c r="V51" s="9"/>
      <c r="W51" s="9"/>
      <c r="X51" s="9"/>
      <c r="Y51" s="9"/>
    </row>
    <row r="52">
      <c r="A52" s="10" t="s">
        <v>162</v>
      </c>
      <c r="B52" s="11">
        <v>45552.0</v>
      </c>
      <c r="C52" s="10" t="s">
        <v>163</v>
      </c>
      <c r="D52" s="10" t="s">
        <v>23</v>
      </c>
      <c r="E52" s="10" t="s">
        <v>73</v>
      </c>
      <c r="F52" s="10" t="s">
        <v>65</v>
      </c>
      <c r="G52" s="10" t="s">
        <v>38</v>
      </c>
      <c r="H52" s="10" t="s">
        <v>39</v>
      </c>
      <c r="I52" s="10">
        <v>5.0</v>
      </c>
      <c r="J52" s="10">
        <v>4999.0</v>
      </c>
      <c r="K52" s="10">
        <v>10.0</v>
      </c>
      <c r="L52" s="10" t="s">
        <v>28</v>
      </c>
      <c r="M52" s="10" t="s">
        <v>29</v>
      </c>
      <c r="N52" s="10" t="s">
        <v>40</v>
      </c>
      <c r="O52" s="10" t="s">
        <v>67</v>
      </c>
      <c r="P52" s="10" t="s">
        <v>32</v>
      </c>
      <c r="Q52" s="10"/>
      <c r="R52" s="7">
        <f t="shared" si="1"/>
        <v>22495.5</v>
      </c>
      <c r="S52" s="8">
        <f t="shared" si="2"/>
        <v>3431.516949</v>
      </c>
      <c r="T52" s="8">
        <f t="shared" si="3"/>
        <v>22495.5</v>
      </c>
      <c r="U52" s="8" t="str">
        <f t="shared" si="4"/>
        <v>Q3</v>
      </c>
      <c r="V52" s="9"/>
      <c r="W52" s="9"/>
      <c r="X52" s="9"/>
      <c r="Y52" s="9"/>
    </row>
    <row r="53">
      <c r="A53" s="10" t="s">
        <v>164</v>
      </c>
      <c r="B53" s="11">
        <v>45686.0</v>
      </c>
      <c r="C53" s="10" t="s">
        <v>43</v>
      </c>
      <c r="D53" s="10" t="s">
        <v>80</v>
      </c>
      <c r="E53" s="10" t="s">
        <v>112</v>
      </c>
      <c r="F53" s="10" t="s">
        <v>65</v>
      </c>
      <c r="G53" s="10" t="s">
        <v>38</v>
      </c>
      <c r="H53" s="10" t="s">
        <v>39</v>
      </c>
      <c r="I53" s="10">
        <v>3.0</v>
      </c>
      <c r="J53" s="10">
        <v>4999.0</v>
      </c>
      <c r="K53" s="10">
        <v>0.0</v>
      </c>
      <c r="L53" s="10" t="s">
        <v>45</v>
      </c>
      <c r="M53" s="10" t="s">
        <v>29</v>
      </c>
      <c r="N53" s="10" t="s">
        <v>40</v>
      </c>
      <c r="O53" s="10" t="s">
        <v>31</v>
      </c>
      <c r="P53" s="10" t="s">
        <v>32</v>
      </c>
      <c r="Q53" s="10"/>
      <c r="R53" s="7">
        <f t="shared" si="1"/>
        <v>14997</v>
      </c>
      <c r="S53" s="8">
        <f t="shared" si="2"/>
        <v>2699.46</v>
      </c>
      <c r="T53" s="8">
        <f t="shared" si="3"/>
        <v>17696.46</v>
      </c>
      <c r="U53" s="8" t="str">
        <f t="shared" si="4"/>
        <v>Q1</v>
      </c>
      <c r="V53" s="9"/>
      <c r="W53" s="9"/>
      <c r="X53" s="9"/>
      <c r="Y53" s="9"/>
    </row>
    <row r="54">
      <c r="A54" s="10" t="s">
        <v>165</v>
      </c>
      <c r="B54" s="11">
        <v>45707.0</v>
      </c>
      <c r="C54" s="10" t="s">
        <v>109</v>
      </c>
      <c r="D54" s="10" t="s">
        <v>60</v>
      </c>
      <c r="E54" s="10" t="s">
        <v>122</v>
      </c>
      <c r="F54" s="10" t="s">
        <v>51</v>
      </c>
      <c r="G54" s="10" t="s">
        <v>106</v>
      </c>
      <c r="H54" s="10" t="s">
        <v>27</v>
      </c>
      <c r="I54" s="10">
        <v>1.0</v>
      </c>
      <c r="J54" s="10">
        <v>999.0</v>
      </c>
      <c r="K54" s="10">
        <v>5.0</v>
      </c>
      <c r="L54" s="10" t="s">
        <v>45</v>
      </c>
      <c r="M54" s="10" t="s">
        <v>166</v>
      </c>
      <c r="N54" s="10" t="s">
        <v>30</v>
      </c>
      <c r="O54" s="10" t="s">
        <v>31</v>
      </c>
      <c r="P54" s="10" t="s">
        <v>32</v>
      </c>
      <c r="Q54" s="11">
        <v>46072.0</v>
      </c>
      <c r="R54" s="7">
        <f t="shared" si="1"/>
        <v>949.05</v>
      </c>
      <c r="S54" s="8">
        <f t="shared" si="2"/>
        <v>170.829</v>
      </c>
      <c r="T54" s="8">
        <f t="shared" si="3"/>
        <v>1119.879</v>
      </c>
      <c r="U54" s="8" t="str">
        <f t="shared" si="4"/>
        <v>Q1</v>
      </c>
      <c r="V54" s="9"/>
      <c r="W54" s="9"/>
      <c r="X54" s="9"/>
      <c r="Y54" s="9"/>
    </row>
    <row r="55">
      <c r="A55" s="10" t="s">
        <v>167</v>
      </c>
      <c r="B55" s="11">
        <v>45643.0</v>
      </c>
      <c r="C55" s="10" t="s">
        <v>43</v>
      </c>
      <c r="D55" s="10" t="s">
        <v>60</v>
      </c>
      <c r="E55" s="10" t="s">
        <v>110</v>
      </c>
      <c r="F55" s="10" t="s">
        <v>74</v>
      </c>
      <c r="G55" s="10" t="s">
        <v>55</v>
      </c>
      <c r="H55" s="10" t="s">
        <v>56</v>
      </c>
      <c r="I55" s="10">
        <v>2.0</v>
      </c>
      <c r="J55" s="10">
        <v>1499.0</v>
      </c>
      <c r="K55" s="10">
        <v>20.0</v>
      </c>
      <c r="L55" s="10" t="s">
        <v>28</v>
      </c>
      <c r="M55" s="10" t="s">
        <v>29</v>
      </c>
      <c r="N55" s="10" t="s">
        <v>30</v>
      </c>
      <c r="O55" s="10" t="s">
        <v>46</v>
      </c>
      <c r="P55" s="10" t="s">
        <v>32</v>
      </c>
      <c r="Q55" s="10"/>
      <c r="R55" s="7">
        <f t="shared" si="1"/>
        <v>2398.4</v>
      </c>
      <c r="S55" s="8">
        <f t="shared" si="2"/>
        <v>365.8576271</v>
      </c>
      <c r="T55" s="8">
        <f t="shared" si="3"/>
        <v>2398.4</v>
      </c>
      <c r="U55" s="8" t="str">
        <f t="shared" si="4"/>
        <v>Q4</v>
      </c>
      <c r="V55" s="9"/>
      <c r="W55" s="9"/>
      <c r="X55" s="9"/>
      <c r="Y55" s="9"/>
    </row>
    <row r="56">
      <c r="A56" s="10" t="s">
        <v>168</v>
      </c>
      <c r="B56" s="11">
        <v>45668.0</v>
      </c>
      <c r="C56" s="10" t="s">
        <v>134</v>
      </c>
      <c r="D56" s="10" t="s">
        <v>60</v>
      </c>
      <c r="E56" s="10" t="s">
        <v>102</v>
      </c>
      <c r="F56" s="10" t="s">
        <v>51</v>
      </c>
      <c r="G56" s="10" t="s">
        <v>38</v>
      </c>
      <c r="H56" s="10" t="s">
        <v>39</v>
      </c>
      <c r="I56" s="10">
        <v>5.0</v>
      </c>
      <c r="J56" s="10">
        <v>4999.0</v>
      </c>
      <c r="K56" s="10">
        <v>20.0</v>
      </c>
      <c r="L56" s="10" t="s">
        <v>28</v>
      </c>
      <c r="M56" s="10" t="s">
        <v>29</v>
      </c>
      <c r="N56" s="10" t="s">
        <v>30</v>
      </c>
      <c r="O56" s="10" t="s">
        <v>46</v>
      </c>
      <c r="P56" s="10" t="s">
        <v>87</v>
      </c>
      <c r="Q56" s="10"/>
      <c r="R56" s="7">
        <f t="shared" si="1"/>
        <v>0</v>
      </c>
      <c r="S56" s="8">
        <f t="shared" si="2"/>
        <v>0</v>
      </c>
      <c r="T56" s="8">
        <f t="shared" si="3"/>
        <v>0</v>
      </c>
      <c r="U56" s="8" t="str">
        <f t="shared" si="4"/>
        <v>Q1</v>
      </c>
      <c r="V56" s="9"/>
      <c r="W56" s="9"/>
      <c r="X56" s="9"/>
      <c r="Y56" s="9"/>
    </row>
    <row r="57">
      <c r="A57" s="10" t="s">
        <v>169</v>
      </c>
      <c r="B57" s="11">
        <v>45488.0</v>
      </c>
      <c r="C57" s="10" t="s">
        <v>53</v>
      </c>
      <c r="D57" s="10" t="s">
        <v>23</v>
      </c>
      <c r="E57" s="10" t="s">
        <v>99</v>
      </c>
      <c r="F57" s="10" t="s">
        <v>65</v>
      </c>
      <c r="G57" s="10" t="s">
        <v>93</v>
      </c>
      <c r="H57" s="10" t="s">
        <v>27</v>
      </c>
      <c r="I57" s="10">
        <v>1.0</v>
      </c>
      <c r="J57" s="10">
        <v>2999.0</v>
      </c>
      <c r="K57" s="10">
        <v>10.0</v>
      </c>
      <c r="L57" s="10" t="s">
        <v>45</v>
      </c>
      <c r="M57" s="10" t="s">
        <v>29</v>
      </c>
      <c r="N57" s="10" t="s">
        <v>94</v>
      </c>
      <c r="O57" s="10" t="s">
        <v>67</v>
      </c>
      <c r="P57" s="10" t="s">
        <v>32</v>
      </c>
      <c r="Q57" s="11">
        <v>45518.0</v>
      </c>
      <c r="R57" s="7">
        <f t="shared" si="1"/>
        <v>2699.1</v>
      </c>
      <c r="S57" s="8">
        <f t="shared" si="2"/>
        <v>485.838</v>
      </c>
      <c r="T57" s="8">
        <f t="shared" si="3"/>
        <v>3184.938</v>
      </c>
      <c r="U57" s="8" t="str">
        <f t="shared" si="4"/>
        <v>Q3</v>
      </c>
      <c r="V57" s="9"/>
      <c r="W57" s="9"/>
      <c r="X57" s="9"/>
      <c r="Y57" s="9"/>
    </row>
    <row r="58">
      <c r="A58" s="10" t="s">
        <v>170</v>
      </c>
      <c r="B58" s="11">
        <v>45592.0</v>
      </c>
      <c r="C58" s="10" t="s">
        <v>141</v>
      </c>
      <c r="D58" s="10" t="s">
        <v>23</v>
      </c>
      <c r="E58" s="10" t="s">
        <v>99</v>
      </c>
      <c r="F58" s="10" t="s">
        <v>37</v>
      </c>
      <c r="G58" s="10" t="s">
        <v>75</v>
      </c>
      <c r="H58" s="10" t="s">
        <v>56</v>
      </c>
      <c r="I58" s="10">
        <v>1.0</v>
      </c>
      <c r="J58" s="10">
        <v>799.0</v>
      </c>
      <c r="K58" s="10">
        <v>0.0</v>
      </c>
      <c r="L58" s="10" t="s">
        <v>45</v>
      </c>
      <c r="M58" s="10" t="s">
        <v>29</v>
      </c>
      <c r="N58" s="10" t="s">
        <v>40</v>
      </c>
      <c r="O58" s="10" t="s">
        <v>31</v>
      </c>
      <c r="P58" s="10" t="s">
        <v>87</v>
      </c>
      <c r="Q58" s="10"/>
      <c r="R58" s="7">
        <f t="shared" si="1"/>
        <v>0</v>
      </c>
      <c r="S58" s="8">
        <f t="shared" si="2"/>
        <v>0</v>
      </c>
      <c r="T58" s="8">
        <f t="shared" si="3"/>
        <v>0</v>
      </c>
      <c r="U58" s="8" t="str">
        <f t="shared" si="4"/>
        <v>Q4</v>
      </c>
      <c r="V58" s="9"/>
      <c r="W58" s="9"/>
      <c r="X58" s="9"/>
      <c r="Y58" s="9"/>
    </row>
    <row r="59">
      <c r="A59" s="10" t="s">
        <v>171</v>
      </c>
      <c r="B59" s="11">
        <v>45670.0</v>
      </c>
      <c r="C59" s="10" t="s">
        <v>172</v>
      </c>
      <c r="D59" s="10" t="s">
        <v>35</v>
      </c>
      <c r="E59" s="10" t="s">
        <v>85</v>
      </c>
      <c r="F59" s="10" t="s">
        <v>51</v>
      </c>
      <c r="G59" s="10" t="s">
        <v>66</v>
      </c>
      <c r="H59" s="10" t="s">
        <v>39</v>
      </c>
      <c r="I59" s="10">
        <v>1.0</v>
      </c>
      <c r="J59" s="10">
        <v>14999.0</v>
      </c>
      <c r="K59" s="10">
        <v>0.15</v>
      </c>
      <c r="L59" s="10" t="s">
        <v>28</v>
      </c>
      <c r="M59" s="10" t="s">
        <v>166</v>
      </c>
      <c r="N59" s="10" t="s">
        <v>40</v>
      </c>
      <c r="O59" s="10" t="s">
        <v>31</v>
      </c>
      <c r="P59" s="10" t="s">
        <v>32</v>
      </c>
      <c r="Q59" s="10"/>
      <c r="R59" s="7">
        <f t="shared" si="1"/>
        <v>14976.5015</v>
      </c>
      <c r="S59" s="8">
        <f t="shared" si="2"/>
        <v>2284.551076</v>
      </c>
      <c r="T59" s="8">
        <f t="shared" si="3"/>
        <v>14976.5015</v>
      </c>
      <c r="U59" s="8" t="str">
        <f t="shared" si="4"/>
        <v>Q1</v>
      </c>
      <c r="V59" s="9"/>
      <c r="W59" s="9"/>
      <c r="X59" s="9"/>
      <c r="Y59" s="9"/>
    </row>
    <row r="60">
      <c r="A60" s="10" t="s">
        <v>173</v>
      </c>
      <c r="B60" s="11">
        <v>45591.0</v>
      </c>
      <c r="C60" s="10" t="s">
        <v>144</v>
      </c>
      <c r="D60" s="10" t="s">
        <v>23</v>
      </c>
      <c r="E60" s="10" t="s">
        <v>83</v>
      </c>
      <c r="F60" s="10" t="s">
        <v>86</v>
      </c>
      <c r="G60" s="10" t="s">
        <v>75</v>
      </c>
      <c r="H60" s="10" t="s">
        <v>56</v>
      </c>
      <c r="I60" s="10">
        <v>1.0</v>
      </c>
      <c r="J60" s="10">
        <v>799.0</v>
      </c>
      <c r="K60" s="10">
        <v>5.0</v>
      </c>
      <c r="L60" s="10" t="s">
        <v>28</v>
      </c>
      <c r="M60" s="10" t="s">
        <v>29</v>
      </c>
      <c r="N60" s="10" t="s">
        <v>57</v>
      </c>
      <c r="O60" s="10" t="s">
        <v>41</v>
      </c>
      <c r="P60" s="10" t="s">
        <v>77</v>
      </c>
      <c r="Q60" s="10"/>
      <c r="R60" s="7">
        <f t="shared" si="1"/>
        <v>0</v>
      </c>
      <c r="S60" s="8">
        <f t="shared" si="2"/>
        <v>0</v>
      </c>
      <c r="T60" s="8">
        <f t="shared" si="3"/>
        <v>0</v>
      </c>
      <c r="U60" s="8" t="str">
        <f t="shared" si="4"/>
        <v>Q4</v>
      </c>
      <c r="V60" s="9"/>
      <c r="W60" s="9"/>
      <c r="X60" s="9"/>
      <c r="Y60" s="9"/>
    </row>
    <row r="61">
      <c r="A61" s="10" t="s">
        <v>174</v>
      </c>
      <c r="B61" s="11">
        <v>45625.0</v>
      </c>
      <c r="C61" s="10" t="s">
        <v>105</v>
      </c>
      <c r="D61" s="10" t="s">
        <v>60</v>
      </c>
      <c r="E61" s="10" t="s">
        <v>102</v>
      </c>
      <c r="F61" s="10" t="s">
        <v>51</v>
      </c>
      <c r="G61" s="10" t="s">
        <v>75</v>
      </c>
      <c r="H61" s="10" t="s">
        <v>56</v>
      </c>
      <c r="I61" s="10">
        <v>2.0</v>
      </c>
      <c r="J61" s="10">
        <v>799.0</v>
      </c>
      <c r="K61" s="10">
        <v>0.0</v>
      </c>
      <c r="L61" s="10" t="s">
        <v>28</v>
      </c>
      <c r="M61" s="10" t="s">
        <v>29</v>
      </c>
      <c r="N61" s="10" t="s">
        <v>40</v>
      </c>
      <c r="O61" s="10" t="s">
        <v>46</v>
      </c>
      <c r="P61" s="10" t="s">
        <v>62</v>
      </c>
      <c r="Q61" s="10"/>
      <c r="R61" s="7">
        <f t="shared" si="1"/>
        <v>0</v>
      </c>
      <c r="S61" s="8">
        <f t="shared" si="2"/>
        <v>0</v>
      </c>
      <c r="T61" s="8">
        <f t="shared" si="3"/>
        <v>0</v>
      </c>
      <c r="U61" s="8" t="str">
        <f t="shared" si="4"/>
        <v>Q4</v>
      </c>
      <c r="V61" s="9"/>
      <c r="W61" s="9"/>
      <c r="X61" s="9"/>
      <c r="Y61" s="9"/>
    </row>
    <row r="62">
      <c r="A62" s="10" t="s">
        <v>175</v>
      </c>
      <c r="B62" s="11">
        <v>45589.0</v>
      </c>
      <c r="C62" s="10" t="s">
        <v>131</v>
      </c>
      <c r="D62" s="10" t="s">
        <v>35</v>
      </c>
      <c r="E62" s="10" t="s">
        <v>50</v>
      </c>
      <c r="F62" s="10" t="s">
        <v>65</v>
      </c>
      <c r="G62" s="10" t="s">
        <v>38</v>
      </c>
      <c r="H62" s="10" t="s">
        <v>39</v>
      </c>
      <c r="I62" s="10">
        <v>5.0</v>
      </c>
      <c r="J62" s="10">
        <v>4999.0</v>
      </c>
      <c r="K62" s="10">
        <v>15.0</v>
      </c>
      <c r="L62" s="10" t="s">
        <v>45</v>
      </c>
      <c r="M62" s="10" t="s">
        <v>166</v>
      </c>
      <c r="N62" s="10" t="s">
        <v>57</v>
      </c>
      <c r="O62" s="10" t="s">
        <v>41</v>
      </c>
      <c r="P62" s="10" t="s">
        <v>47</v>
      </c>
      <c r="Q62" s="10"/>
      <c r="R62" s="7">
        <f t="shared" si="1"/>
        <v>0</v>
      </c>
      <c r="S62" s="8">
        <f t="shared" si="2"/>
        <v>0</v>
      </c>
      <c r="T62" s="8">
        <f t="shared" si="3"/>
        <v>0</v>
      </c>
      <c r="U62" s="8" t="str">
        <f t="shared" si="4"/>
        <v>Q4</v>
      </c>
      <c r="V62" s="9"/>
      <c r="W62" s="9"/>
      <c r="X62" s="9"/>
      <c r="Y62" s="9"/>
    </row>
    <row r="63">
      <c r="A63" s="10" t="s">
        <v>176</v>
      </c>
      <c r="B63" s="11">
        <v>45529.0</v>
      </c>
      <c r="C63" s="10" t="s">
        <v>125</v>
      </c>
      <c r="D63" s="10" t="s">
        <v>35</v>
      </c>
      <c r="E63" s="10" t="s">
        <v>50</v>
      </c>
      <c r="F63" s="10" t="s">
        <v>86</v>
      </c>
      <c r="G63" s="10" t="s">
        <v>75</v>
      </c>
      <c r="H63" s="10" t="s">
        <v>56</v>
      </c>
      <c r="I63" s="10">
        <v>-2.0</v>
      </c>
      <c r="J63" s="10">
        <v>799.0</v>
      </c>
      <c r="K63" s="10">
        <v>0.1</v>
      </c>
      <c r="L63" s="10" t="s">
        <v>28</v>
      </c>
      <c r="M63" s="10" t="s">
        <v>29</v>
      </c>
      <c r="N63" s="10" t="s">
        <v>57</v>
      </c>
      <c r="O63" s="10" t="s">
        <v>31</v>
      </c>
      <c r="P63" s="12" t="s">
        <v>77</v>
      </c>
      <c r="Q63" s="10"/>
      <c r="R63" s="7">
        <f t="shared" si="1"/>
        <v>0</v>
      </c>
      <c r="S63" s="8">
        <f t="shared" si="2"/>
        <v>0</v>
      </c>
      <c r="T63" s="8">
        <f t="shared" si="3"/>
        <v>0</v>
      </c>
      <c r="U63" s="8" t="str">
        <f t="shared" si="4"/>
        <v>Q3</v>
      </c>
      <c r="V63" s="9"/>
      <c r="W63" s="9"/>
      <c r="X63" s="9"/>
      <c r="Y63" s="9"/>
    </row>
    <row r="64">
      <c r="A64" s="10" t="s">
        <v>177</v>
      </c>
      <c r="B64" s="11">
        <v>45726.0</v>
      </c>
      <c r="C64" s="10" t="s">
        <v>105</v>
      </c>
      <c r="D64" s="10" t="s">
        <v>60</v>
      </c>
      <c r="E64" s="10" t="s">
        <v>102</v>
      </c>
      <c r="F64" s="10" t="s">
        <v>65</v>
      </c>
      <c r="G64" s="10" t="s">
        <v>26</v>
      </c>
      <c r="H64" s="10" t="s">
        <v>27</v>
      </c>
      <c r="I64" s="10">
        <v>1.0</v>
      </c>
      <c r="J64" s="10">
        <v>9999.0</v>
      </c>
      <c r="K64" s="10">
        <v>0.1</v>
      </c>
      <c r="L64" s="10" t="s">
        <v>45</v>
      </c>
      <c r="M64" s="10" t="s">
        <v>29</v>
      </c>
      <c r="N64" s="10" t="s">
        <v>40</v>
      </c>
      <c r="O64" s="10" t="s">
        <v>67</v>
      </c>
      <c r="P64" s="10" t="s">
        <v>32</v>
      </c>
      <c r="Q64" s="11">
        <v>45816.0</v>
      </c>
      <c r="R64" s="7">
        <f t="shared" si="1"/>
        <v>9989.001</v>
      </c>
      <c r="S64" s="8">
        <f t="shared" si="2"/>
        <v>1798.02018</v>
      </c>
      <c r="T64" s="8">
        <f t="shared" si="3"/>
        <v>11787.02118</v>
      </c>
      <c r="U64" s="8" t="str">
        <f t="shared" si="4"/>
        <v>Q1</v>
      </c>
      <c r="V64" s="9"/>
      <c r="W64" s="9"/>
      <c r="X64" s="9"/>
      <c r="Y64" s="9"/>
    </row>
    <row r="65">
      <c r="A65" s="10" t="s">
        <v>178</v>
      </c>
      <c r="B65" s="11">
        <v>45701.0</v>
      </c>
      <c r="C65" s="10" t="s">
        <v>153</v>
      </c>
      <c r="D65" s="10" t="s">
        <v>60</v>
      </c>
      <c r="E65" s="10" t="s">
        <v>122</v>
      </c>
      <c r="F65" s="10" t="s">
        <v>65</v>
      </c>
      <c r="G65" s="10" t="s">
        <v>106</v>
      </c>
      <c r="H65" s="10" t="s">
        <v>27</v>
      </c>
      <c r="I65" s="10">
        <v>1.0</v>
      </c>
      <c r="J65" s="10">
        <v>999.0</v>
      </c>
      <c r="K65" s="10">
        <v>0.0</v>
      </c>
      <c r="L65" s="10" t="s">
        <v>28</v>
      </c>
      <c r="M65" s="10" t="s">
        <v>29</v>
      </c>
      <c r="N65" s="10" t="s">
        <v>40</v>
      </c>
      <c r="O65" s="10" t="s">
        <v>46</v>
      </c>
      <c r="P65" s="10" t="s">
        <v>47</v>
      </c>
      <c r="Q65" s="10"/>
      <c r="R65" s="7">
        <f t="shared" si="1"/>
        <v>0</v>
      </c>
      <c r="S65" s="8">
        <f t="shared" si="2"/>
        <v>0</v>
      </c>
      <c r="T65" s="8">
        <f t="shared" si="3"/>
        <v>0</v>
      </c>
      <c r="U65" s="8" t="str">
        <f t="shared" si="4"/>
        <v>Q1</v>
      </c>
      <c r="V65" s="9"/>
      <c r="W65" s="9"/>
      <c r="X65" s="9"/>
      <c r="Y65" s="9"/>
    </row>
    <row r="66">
      <c r="A66" s="10" t="s">
        <v>179</v>
      </c>
      <c r="B66" s="11">
        <v>45484.0</v>
      </c>
      <c r="C66" s="10" t="s">
        <v>116</v>
      </c>
      <c r="D66" s="10" t="s">
        <v>23</v>
      </c>
      <c r="E66" s="10" t="s">
        <v>99</v>
      </c>
      <c r="F66" s="10" t="s">
        <v>37</v>
      </c>
      <c r="G66" s="10" t="s">
        <v>93</v>
      </c>
      <c r="H66" s="10" t="s">
        <v>27</v>
      </c>
      <c r="I66" s="10">
        <v>1.0</v>
      </c>
      <c r="J66" s="10">
        <v>2999.0</v>
      </c>
      <c r="K66" s="10">
        <v>0.0</v>
      </c>
      <c r="L66" s="10" t="s">
        <v>45</v>
      </c>
      <c r="M66" s="10" t="s">
        <v>29</v>
      </c>
      <c r="N66" s="10" t="s">
        <v>70</v>
      </c>
      <c r="O66" s="10" t="s">
        <v>67</v>
      </c>
      <c r="P66" s="10" t="s">
        <v>62</v>
      </c>
      <c r="Q66" s="10"/>
      <c r="R66" s="7">
        <f t="shared" si="1"/>
        <v>0</v>
      </c>
      <c r="S66" s="8">
        <f t="shared" si="2"/>
        <v>0</v>
      </c>
      <c r="T66" s="8">
        <f t="shared" si="3"/>
        <v>0</v>
      </c>
      <c r="U66" s="8" t="str">
        <f t="shared" si="4"/>
        <v>Q3</v>
      </c>
      <c r="V66" s="9"/>
      <c r="W66" s="9"/>
      <c r="X66" s="9"/>
      <c r="Y66" s="9"/>
    </row>
    <row r="67">
      <c r="A67" s="10" t="s">
        <v>180</v>
      </c>
      <c r="B67" s="11">
        <v>45548.0</v>
      </c>
      <c r="C67" s="10" t="s">
        <v>53</v>
      </c>
      <c r="D67" s="10" t="s">
        <v>35</v>
      </c>
      <c r="E67" s="10" t="s">
        <v>128</v>
      </c>
      <c r="F67" s="10" t="s">
        <v>181</v>
      </c>
      <c r="G67" s="10" t="s">
        <v>38</v>
      </c>
      <c r="H67" s="10" t="s">
        <v>39</v>
      </c>
      <c r="I67" s="10">
        <v>3.0</v>
      </c>
      <c r="J67" s="10">
        <v>4999.0</v>
      </c>
      <c r="K67" s="10">
        <v>0.0</v>
      </c>
      <c r="L67" s="10" t="s">
        <v>28</v>
      </c>
      <c r="M67" s="10" t="s">
        <v>29</v>
      </c>
      <c r="N67" s="10" t="s">
        <v>89</v>
      </c>
      <c r="O67" s="10" t="s">
        <v>67</v>
      </c>
      <c r="P67" s="10" t="s">
        <v>32</v>
      </c>
      <c r="Q67" s="10"/>
      <c r="R67" s="7">
        <f t="shared" si="1"/>
        <v>14997</v>
      </c>
      <c r="S67" s="8">
        <f t="shared" si="2"/>
        <v>2287.677966</v>
      </c>
      <c r="T67" s="8">
        <f t="shared" si="3"/>
        <v>14997</v>
      </c>
      <c r="U67" s="8" t="str">
        <f t="shared" si="4"/>
        <v>Q3</v>
      </c>
      <c r="V67" s="9"/>
      <c r="W67" s="9"/>
      <c r="X67" s="9"/>
      <c r="Y67" s="9"/>
    </row>
    <row r="68">
      <c r="A68" s="10" t="s">
        <v>182</v>
      </c>
      <c r="B68" s="11">
        <v>45532.0</v>
      </c>
      <c r="C68" s="10" t="s">
        <v>183</v>
      </c>
      <c r="D68" s="10" t="s">
        <v>23</v>
      </c>
      <c r="E68" s="10" t="s">
        <v>73</v>
      </c>
      <c r="F68" s="10" t="s">
        <v>74</v>
      </c>
      <c r="G68" s="10" t="s">
        <v>106</v>
      </c>
      <c r="H68" s="10" t="s">
        <v>27</v>
      </c>
      <c r="I68" s="10">
        <v>1.0</v>
      </c>
      <c r="J68" s="10">
        <v>999.0</v>
      </c>
      <c r="K68" s="10">
        <v>10.0</v>
      </c>
      <c r="L68" s="10" t="s">
        <v>28</v>
      </c>
      <c r="M68" s="10" t="s">
        <v>29</v>
      </c>
      <c r="N68" s="10" t="s">
        <v>30</v>
      </c>
      <c r="O68" s="10" t="s">
        <v>41</v>
      </c>
      <c r="P68" s="10" t="s">
        <v>32</v>
      </c>
      <c r="Q68" s="11">
        <v>45897.0</v>
      </c>
      <c r="R68" s="7">
        <f t="shared" si="1"/>
        <v>899.1</v>
      </c>
      <c r="S68" s="8">
        <f t="shared" si="2"/>
        <v>137.1508475</v>
      </c>
      <c r="T68" s="8">
        <f t="shared" si="3"/>
        <v>899.1</v>
      </c>
      <c r="U68" s="8" t="str">
        <f t="shared" si="4"/>
        <v>Q3</v>
      </c>
      <c r="V68" s="9"/>
      <c r="W68" s="9"/>
      <c r="X68" s="9"/>
      <c r="Y68" s="9"/>
    </row>
    <row r="69">
      <c r="A69" s="10" t="s">
        <v>184</v>
      </c>
      <c r="B69" s="11">
        <v>45679.0</v>
      </c>
      <c r="C69" s="10" t="s">
        <v>64</v>
      </c>
      <c r="D69" s="10" t="s">
        <v>35</v>
      </c>
      <c r="E69" s="10" t="s">
        <v>85</v>
      </c>
      <c r="F69" s="10" t="s">
        <v>74</v>
      </c>
      <c r="G69" s="10" t="s">
        <v>66</v>
      </c>
      <c r="H69" s="10" t="s">
        <v>39</v>
      </c>
      <c r="I69" s="10">
        <v>1.0</v>
      </c>
      <c r="J69" s="10">
        <v>14999.0</v>
      </c>
      <c r="K69" s="10">
        <v>20.0</v>
      </c>
      <c r="L69" s="10" t="s">
        <v>28</v>
      </c>
      <c r="M69" s="10" t="s">
        <v>29</v>
      </c>
      <c r="N69" s="10" t="s">
        <v>30</v>
      </c>
      <c r="O69" s="10" t="s">
        <v>46</v>
      </c>
      <c r="P69" s="10" t="s">
        <v>32</v>
      </c>
      <c r="Q69" s="10"/>
      <c r="R69" s="7">
        <f t="shared" si="1"/>
        <v>11999.2</v>
      </c>
      <c r="S69" s="8">
        <f t="shared" si="2"/>
        <v>1830.386441</v>
      </c>
      <c r="T69" s="8">
        <f t="shared" si="3"/>
        <v>11999.2</v>
      </c>
      <c r="U69" s="8" t="str">
        <f t="shared" si="4"/>
        <v>Q1</v>
      </c>
      <c r="V69" s="9"/>
      <c r="W69" s="9"/>
      <c r="X69" s="9"/>
      <c r="Y69" s="9"/>
    </row>
    <row r="70">
      <c r="A70" s="10" t="s">
        <v>185</v>
      </c>
      <c r="B70" s="11">
        <v>45833.0</v>
      </c>
      <c r="C70" s="10" t="s">
        <v>183</v>
      </c>
      <c r="D70" s="10" t="s">
        <v>60</v>
      </c>
      <c r="E70" s="10" t="s">
        <v>61</v>
      </c>
      <c r="F70" s="10" t="s">
        <v>44</v>
      </c>
      <c r="G70" s="10" t="s">
        <v>55</v>
      </c>
      <c r="H70" s="10" t="s">
        <v>56</v>
      </c>
      <c r="I70" s="10">
        <v>5.0</v>
      </c>
      <c r="J70" s="10">
        <v>1499.0</v>
      </c>
      <c r="K70" s="10">
        <v>0.1</v>
      </c>
      <c r="L70" s="10" t="s">
        <v>28</v>
      </c>
      <c r="M70" s="10" t="s">
        <v>29</v>
      </c>
      <c r="N70" s="10" t="s">
        <v>30</v>
      </c>
      <c r="O70" s="10" t="s">
        <v>31</v>
      </c>
      <c r="P70" s="10" t="s">
        <v>62</v>
      </c>
      <c r="Q70" s="10"/>
      <c r="R70" s="7">
        <f t="shared" si="1"/>
        <v>0</v>
      </c>
      <c r="S70" s="8">
        <f t="shared" si="2"/>
        <v>0</v>
      </c>
      <c r="T70" s="8">
        <f t="shared" si="3"/>
        <v>0</v>
      </c>
      <c r="U70" s="8" t="str">
        <f t="shared" si="4"/>
        <v>Q2</v>
      </c>
      <c r="V70" s="9"/>
      <c r="W70" s="9"/>
      <c r="X70" s="9"/>
      <c r="Y70" s="9"/>
    </row>
    <row r="71">
      <c r="A71" s="10" t="s">
        <v>186</v>
      </c>
      <c r="B71" s="11">
        <v>45552.0</v>
      </c>
      <c r="C71" s="10" t="s">
        <v>157</v>
      </c>
      <c r="D71" s="10" t="s">
        <v>60</v>
      </c>
      <c r="E71" s="10" t="s">
        <v>102</v>
      </c>
      <c r="F71" s="10" t="s">
        <v>86</v>
      </c>
      <c r="G71" s="10" t="s">
        <v>106</v>
      </c>
      <c r="H71" s="10" t="s">
        <v>27</v>
      </c>
      <c r="I71" s="10">
        <v>1.0</v>
      </c>
      <c r="J71" s="10">
        <v>999.0</v>
      </c>
      <c r="K71" s="10">
        <v>0.0</v>
      </c>
      <c r="L71" s="10" t="s">
        <v>28</v>
      </c>
      <c r="M71" s="10" t="s">
        <v>29</v>
      </c>
      <c r="N71" s="10" t="s">
        <v>30</v>
      </c>
      <c r="O71" s="10" t="s">
        <v>41</v>
      </c>
      <c r="P71" s="10" t="s">
        <v>87</v>
      </c>
      <c r="Q71" s="10"/>
      <c r="R71" s="7">
        <f t="shared" si="1"/>
        <v>0</v>
      </c>
      <c r="S71" s="8">
        <f t="shared" si="2"/>
        <v>0</v>
      </c>
      <c r="T71" s="8">
        <f t="shared" si="3"/>
        <v>0</v>
      </c>
      <c r="U71" s="8" t="str">
        <f t="shared" si="4"/>
        <v>Q3</v>
      </c>
      <c r="V71" s="9"/>
      <c r="W71" s="9"/>
      <c r="X71" s="9"/>
      <c r="Y71" s="9"/>
    </row>
    <row r="72">
      <c r="A72" s="10" t="s">
        <v>187</v>
      </c>
      <c r="B72" s="11">
        <v>45621.0</v>
      </c>
      <c r="C72" s="10" t="s">
        <v>134</v>
      </c>
      <c r="D72" s="10" t="s">
        <v>23</v>
      </c>
      <c r="E72" s="10" t="s">
        <v>99</v>
      </c>
      <c r="F72" s="10" t="s">
        <v>86</v>
      </c>
      <c r="G72" s="10" t="s">
        <v>106</v>
      </c>
      <c r="H72" s="10" t="s">
        <v>27</v>
      </c>
      <c r="I72" s="10">
        <v>1.0</v>
      </c>
      <c r="J72" s="10">
        <v>999.0</v>
      </c>
      <c r="K72" s="10">
        <v>0.15</v>
      </c>
      <c r="L72" s="10" t="s">
        <v>28</v>
      </c>
      <c r="M72" s="10" t="s">
        <v>29</v>
      </c>
      <c r="N72" s="10" t="s">
        <v>30</v>
      </c>
      <c r="O72" s="10" t="s">
        <v>46</v>
      </c>
      <c r="P72" s="10" t="s">
        <v>32</v>
      </c>
      <c r="Q72" s="11">
        <v>45986.0</v>
      </c>
      <c r="R72" s="7">
        <f t="shared" si="1"/>
        <v>997.5015</v>
      </c>
      <c r="S72" s="8">
        <f t="shared" si="2"/>
        <v>152.1612458</v>
      </c>
      <c r="T72" s="8">
        <f t="shared" si="3"/>
        <v>997.5015</v>
      </c>
      <c r="U72" s="8" t="str">
        <f t="shared" si="4"/>
        <v>Q4</v>
      </c>
      <c r="V72" s="9"/>
      <c r="W72" s="9"/>
      <c r="X72" s="9"/>
      <c r="Y72" s="9"/>
    </row>
    <row r="73">
      <c r="A73" s="10" t="s">
        <v>188</v>
      </c>
      <c r="B73" s="11">
        <v>45792.0</v>
      </c>
      <c r="C73" s="10" t="s">
        <v>189</v>
      </c>
      <c r="D73" s="10" t="s">
        <v>23</v>
      </c>
      <c r="E73" s="10" t="s">
        <v>24</v>
      </c>
      <c r="F73" s="10" t="s">
        <v>37</v>
      </c>
      <c r="G73" s="10" t="s">
        <v>75</v>
      </c>
      <c r="H73" s="10" t="s">
        <v>56</v>
      </c>
      <c r="I73" s="10">
        <v>5.0</v>
      </c>
      <c r="J73" s="10">
        <v>799.0</v>
      </c>
      <c r="K73" s="10">
        <v>0.15</v>
      </c>
      <c r="L73" s="10" t="s">
        <v>28</v>
      </c>
      <c r="M73" s="10" t="s">
        <v>29</v>
      </c>
      <c r="N73" s="10" t="s">
        <v>57</v>
      </c>
      <c r="O73" s="10" t="s">
        <v>46</v>
      </c>
      <c r="P73" s="10" t="s">
        <v>47</v>
      </c>
      <c r="Q73" s="10"/>
      <c r="R73" s="7">
        <f t="shared" si="1"/>
        <v>0</v>
      </c>
      <c r="S73" s="8">
        <f t="shared" si="2"/>
        <v>0</v>
      </c>
      <c r="T73" s="8">
        <f t="shared" si="3"/>
        <v>0</v>
      </c>
      <c r="U73" s="8" t="str">
        <f t="shared" si="4"/>
        <v>Q2</v>
      </c>
      <c r="V73" s="9"/>
      <c r="W73" s="9"/>
      <c r="X73" s="9"/>
      <c r="Y73" s="9"/>
    </row>
    <row r="74">
      <c r="A74" s="10" t="s">
        <v>190</v>
      </c>
      <c r="B74" s="11">
        <v>45546.0</v>
      </c>
      <c r="C74" s="10" t="s">
        <v>134</v>
      </c>
      <c r="D74" s="10" t="s">
        <v>35</v>
      </c>
      <c r="E74" s="10" t="s">
        <v>36</v>
      </c>
      <c r="F74" s="10" t="s">
        <v>37</v>
      </c>
      <c r="G74" s="10" t="s">
        <v>26</v>
      </c>
      <c r="H74" s="10" t="s">
        <v>27</v>
      </c>
      <c r="I74" s="10">
        <v>1.0</v>
      </c>
      <c r="J74" s="10">
        <v>9999.0</v>
      </c>
      <c r="K74" s="10">
        <v>0.0</v>
      </c>
      <c r="L74" s="10" t="s">
        <v>45</v>
      </c>
      <c r="M74" s="10" t="s">
        <v>29</v>
      </c>
      <c r="N74" s="10" t="s">
        <v>30</v>
      </c>
      <c r="O74" s="10" t="s">
        <v>46</v>
      </c>
      <c r="P74" s="10" t="s">
        <v>62</v>
      </c>
      <c r="Q74" s="10"/>
      <c r="R74" s="7">
        <f t="shared" si="1"/>
        <v>0</v>
      </c>
      <c r="S74" s="8">
        <f t="shared" si="2"/>
        <v>0</v>
      </c>
      <c r="T74" s="8">
        <f t="shared" si="3"/>
        <v>0</v>
      </c>
      <c r="U74" s="8" t="str">
        <f t="shared" si="4"/>
        <v>Q3</v>
      </c>
      <c r="V74" s="9"/>
      <c r="W74" s="9"/>
      <c r="X74" s="9"/>
      <c r="Y74" s="9"/>
    </row>
    <row r="75">
      <c r="A75" s="10" t="s">
        <v>191</v>
      </c>
      <c r="B75" s="11">
        <v>45819.0</v>
      </c>
      <c r="C75" s="10" t="s">
        <v>105</v>
      </c>
      <c r="D75" s="10" t="s">
        <v>35</v>
      </c>
      <c r="E75" s="10" t="s">
        <v>36</v>
      </c>
      <c r="F75" s="10" t="s">
        <v>117</v>
      </c>
      <c r="G75" s="10" t="s">
        <v>93</v>
      </c>
      <c r="H75" s="10" t="s">
        <v>27</v>
      </c>
      <c r="I75" s="10">
        <v>1.0</v>
      </c>
      <c r="J75" s="10">
        <v>2999.0</v>
      </c>
      <c r="K75" s="10">
        <v>15.0</v>
      </c>
      <c r="L75" s="10" t="s">
        <v>28</v>
      </c>
      <c r="M75" s="10" t="s">
        <v>29</v>
      </c>
      <c r="N75" s="10" t="s">
        <v>40</v>
      </c>
      <c r="O75" s="10" t="s">
        <v>41</v>
      </c>
      <c r="P75" s="10" t="s">
        <v>32</v>
      </c>
      <c r="Q75" s="11">
        <v>45909.0</v>
      </c>
      <c r="R75" s="7">
        <f t="shared" si="1"/>
        <v>2549.15</v>
      </c>
      <c r="S75" s="8">
        <f t="shared" si="2"/>
        <v>388.8533898</v>
      </c>
      <c r="T75" s="8">
        <f t="shared" si="3"/>
        <v>2549.15</v>
      </c>
      <c r="U75" s="8" t="str">
        <f t="shared" si="4"/>
        <v>Q2</v>
      </c>
      <c r="V75" s="9"/>
      <c r="W75" s="9"/>
      <c r="X75" s="9"/>
      <c r="Y75" s="9"/>
    </row>
    <row r="76">
      <c r="A76" s="10" t="s">
        <v>192</v>
      </c>
      <c r="B76" s="11">
        <v>45497.0</v>
      </c>
      <c r="C76" s="10" t="s">
        <v>59</v>
      </c>
      <c r="D76" s="10" t="s">
        <v>23</v>
      </c>
      <c r="E76" s="10" t="s">
        <v>24</v>
      </c>
      <c r="F76" s="10" t="s">
        <v>44</v>
      </c>
      <c r="G76" s="10" t="s">
        <v>66</v>
      </c>
      <c r="H76" s="10" t="s">
        <v>39</v>
      </c>
      <c r="I76" s="10">
        <v>3.0</v>
      </c>
      <c r="J76" s="10">
        <v>14999.0</v>
      </c>
      <c r="K76" s="10">
        <v>5.0</v>
      </c>
      <c r="L76" s="10" t="s">
        <v>28</v>
      </c>
      <c r="M76" s="10" t="s">
        <v>29</v>
      </c>
      <c r="N76" s="10" t="s">
        <v>30</v>
      </c>
      <c r="O76" s="10" t="s">
        <v>41</v>
      </c>
      <c r="P76" s="10" t="s">
        <v>32</v>
      </c>
      <c r="Q76" s="10"/>
      <c r="R76" s="7">
        <f t="shared" si="1"/>
        <v>42747.15</v>
      </c>
      <c r="S76" s="8">
        <f t="shared" si="2"/>
        <v>6520.751695</v>
      </c>
      <c r="T76" s="8">
        <f t="shared" si="3"/>
        <v>42747.15</v>
      </c>
      <c r="U76" s="8" t="str">
        <f t="shared" si="4"/>
        <v>Q3</v>
      </c>
      <c r="V76" s="9"/>
      <c r="W76" s="9"/>
      <c r="X76" s="9"/>
      <c r="Y76" s="9"/>
    </row>
    <row r="77">
      <c r="A77" s="10" t="s">
        <v>193</v>
      </c>
      <c r="B77" s="11">
        <v>45730.0</v>
      </c>
      <c r="C77" s="10" t="s">
        <v>101</v>
      </c>
      <c r="D77" s="10" t="s">
        <v>60</v>
      </c>
      <c r="E77" s="10" t="s">
        <v>122</v>
      </c>
      <c r="F77" s="10" t="s">
        <v>37</v>
      </c>
      <c r="G77" s="10" t="s">
        <v>26</v>
      </c>
      <c r="H77" s="10" t="s">
        <v>27</v>
      </c>
      <c r="I77" s="10">
        <v>1.0</v>
      </c>
      <c r="J77" s="10">
        <v>9999.0</v>
      </c>
      <c r="K77" s="10">
        <v>10.0</v>
      </c>
      <c r="L77" s="10" t="s">
        <v>28</v>
      </c>
      <c r="M77" s="10" t="s">
        <v>29</v>
      </c>
      <c r="N77" s="10" t="s">
        <v>114</v>
      </c>
      <c r="O77" s="10" t="s">
        <v>41</v>
      </c>
      <c r="P77" s="10" t="s">
        <v>32</v>
      </c>
      <c r="Q77" s="11">
        <v>45820.0</v>
      </c>
      <c r="R77" s="7">
        <f t="shared" si="1"/>
        <v>8999.1</v>
      </c>
      <c r="S77" s="8">
        <f t="shared" si="2"/>
        <v>1372.744068</v>
      </c>
      <c r="T77" s="8">
        <f t="shared" si="3"/>
        <v>8999.1</v>
      </c>
      <c r="U77" s="8" t="str">
        <f t="shared" si="4"/>
        <v>Q1</v>
      </c>
      <c r="V77" s="9"/>
      <c r="W77" s="9"/>
      <c r="X77" s="9"/>
      <c r="Y77" s="9"/>
    </row>
    <row r="78">
      <c r="A78" s="10" t="s">
        <v>194</v>
      </c>
      <c r="B78" s="11">
        <v>45561.0</v>
      </c>
      <c r="C78" s="10" t="s">
        <v>59</v>
      </c>
      <c r="D78" s="10" t="s">
        <v>60</v>
      </c>
      <c r="E78" s="10" t="s">
        <v>122</v>
      </c>
      <c r="F78" s="10" t="s">
        <v>65</v>
      </c>
      <c r="G78" s="10" t="s">
        <v>106</v>
      </c>
      <c r="H78" s="10" t="s">
        <v>27</v>
      </c>
      <c r="I78" s="10">
        <v>1.0</v>
      </c>
      <c r="J78" s="10">
        <v>999.0</v>
      </c>
      <c r="K78" s="10">
        <v>10.0</v>
      </c>
      <c r="L78" s="10" t="s">
        <v>45</v>
      </c>
      <c r="M78" s="10" t="s">
        <v>29</v>
      </c>
      <c r="N78" s="10" t="s">
        <v>30</v>
      </c>
      <c r="O78" s="10" t="s">
        <v>41</v>
      </c>
      <c r="P78" s="10" t="s">
        <v>32</v>
      </c>
      <c r="Q78" s="11">
        <v>45651.0</v>
      </c>
      <c r="R78" s="7">
        <f t="shared" si="1"/>
        <v>899.1</v>
      </c>
      <c r="S78" s="8">
        <f t="shared" si="2"/>
        <v>161.838</v>
      </c>
      <c r="T78" s="8">
        <f t="shared" si="3"/>
        <v>1060.938</v>
      </c>
      <c r="U78" s="8" t="str">
        <f t="shared" si="4"/>
        <v>Q3</v>
      </c>
      <c r="V78" s="9"/>
      <c r="W78" s="9"/>
      <c r="X78" s="9"/>
      <c r="Y78" s="9"/>
    </row>
    <row r="79">
      <c r="A79" s="10" t="s">
        <v>195</v>
      </c>
      <c r="B79" s="11">
        <v>45745.0</v>
      </c>
      <c r="C79" s="10" t="s">
        <v>105</v>
      </c>
      <c r="D79" s="10" t="s">
        <v>35</v>
      </c>
      <c r="E79" s="10" t="s">
        <v>128</v>
      </c>
      <c r="F79" s="10" t="s">
        <v>25</v>
      </c>
      <c r="G79" s="10" t="s">
        <v>106</v>
      </c>
      <c r="H79" s="10" t="s">
        <v>27</v>
      </c>
      <c r="I79" s="10">
        <v>1.0</v>
      </c>
      <c r="J79" s="10">
        <v>999.0</v>
      </c>
      <c r="K79" s="10">
        <v>10.0</v>
      </c>
      <c r="L79" s="10" t="s">
        <v>28</v>
      </c>
      <c r="M79" s="10" t="s">
        <v>29</v>
      </c>
      <c r="N79" s="10" t="s">
        <v>57</v>
      </c>
      <c r="O79" s="10" t="s">
        <v>46</v>
      </c>
      <c r="P79" s="10" t="s">
        <v>32</v>
      </c>
      <c r="Q79" s="11">
        <v>45775.0</v>
      </c>
      <c r="R79" s="7">
        <f t="shared" si="1"/>
        <v>899.1</v>
      </c>
      <c r="S79" s="8">
        <f t="shared" si="2"/>
        <v>137.1508475</v>
      </c>
      <c r="T79" s="8">
        <f t="shared" si="3"/>
        <v>899.1</v>
      </c>
      <c r="U79" s="8" t="str">
        <f t="shared" si="4"/>
        <v>Q1</v>
      </c>
      <c r="V79" s="9"/>
      <c r="W79" s="9"/>
      <c r="X79" s="9"/>
      <c r="Y79" s="9"/>
    </row>
    <row r="80">
      <c r="A80" s="10" t="s">
        <v>196</v>
      </c>
      <c r="B80" s="11">
        <v>45770.0</v>
      </c>
      <c r="C80" s="10" t="s">
        <v>141</v>
      </c>
      <c r="D80" s="10" t="s">
        <v>80</v>
      </c>
      <c r="E80" s="10" t="s">
        <v>151</v>
      </c>
      <c r="F80" s="10" t="s">
        <v>86</v>
      </c>
      <c r="G80" s="10" t="s">
        <v>26</v>
      </c>
      <c r="H80" s="10" t="s">
        <v>27</v>
      </c>
      <c r="I80" s="10">
        <v>1.0</v>
      </c>
      <c r="J80" s="10">
        <v>9999.0</v>
      </c>
      <c r="K80" s="10">
        <v>0.15</v>
      </c>
      <c r="L80" s="10" t="s">
        <v>28</v>
      </c>
      <c r="M80" s="10" t="s">
        <v>29</v>
      </c>
      <c r="N80" s="10" t="s">
        <v>57</v>
      </c>
      <c r="O80" s="10" t="s">
        <v>41</v>
      </c>
      <c r="P80" s="10" t="s">
        <v>77</v>
      </c>
      <c r="Q80" s="10"/>
      <c r="R80" s="7">
        <f t="shared" si="1"/>
        <v>0</v>
      </c>
      <c r="S80" s="8">
        <f t="shared" si="2"/>
        <v>0</v>
      </c>
      <c r="T80" s="8">
        <f t="shared" si="3"/>
        <v>0</v>
      </c>
      <c r="U80" s="8" t="str">
        <f t="shared" si="4"/>
        <v>Q2</v>
      </c>
      <c r="V80" s="9"/>
      <c r="W80" s="9"/>
      <c r="X80" s="9"/>
      <c r="Y80" s="9"/>
    </row>
    <row r="81">
      <c r="A81" s="10" t="s">
        <v>197</v>
      </c>
      <c r="B81" s="11">
        <v>45511.0</v>
      </c>
      <c r="C81" s="10" t="s">
        <v>131</v>
      </c>
      <c r="D81" s="10" t="s">
        <v>60</v>
      </c>
      <c r="E81" s="10" t="s">
        <v>61</v>
      </c>
      <c r="F81" s="10" t="s">
        <v>51</v>
      </c>
      <c r="G81" s="10" t="s">
        <v>38</v>
      </c>
      <c r="H81" s="10" t="s">
        <v>39</v>
      </c>
      <c r="I81" s="10">
        <v>-2.0</v>
      </c>
      <c r="J81" s="10">
        <v>4999.0</v>
      </c>
      <c r="K81" s="10">
        <v>10.0</v>
      </c>
      <c r="L81" s="10" t="s">
        <v>28</v>
      </c>
      <c r="M81" s="10" t="s">
        <v>29</v>
      </c>
      <c r="N81" s="10" t="s">
        <v>30</v>
      </c>
      <c r="O81" s="10" t="s">
        <v>31</v>
      </c>
      <c r="P81" s="10" t="s">
        <v>87</v>
      </c>
      <c r="Q81" s="10"/>
      <c r="R81" s="7">
        <f t="shared" si="1"/>
        <v>0</v>
      </c>
      <c r="S81" s="8">
        <f t="shared" si="2"/>
        <v>0</v>
      </c>
      <c r="T81" s="8">
        <f t="shared" si="3"/>
        <v>0</v>
      </c>
      <c r="U81" s="8" t="str">
        <f t="shared" si="4"/>
        <v>Q3</v>
      </c>
      <c r="V81" s="9"/>
      <c r="W81" s="9"/>
      <c r="X81" s="9"/>
      <c r="Y81" s="9"/>
    </row>
    <row r="82">
      <c r="A82" s="10" t="s">
        <v>198</v>
      </c>
      <c r="B82" s="11">
        <v>45717.0</v>
      </c>
      <c r="C82" s="10" t="s">
        <v>125</v>
      </c>
      <c r="D82" s="10" t="s">
        <v>23</v>
      </c>
      <c r="E82" s="10" t="s">
        <v>99</v>
      </c>
      <c r="F82" s="10" t="s">
        <v>44</v>
      </c>
      <c r="G82" s="10" t="s">
        <v>38</v>
      </c>
      <c r="H82" s="10" t="s">
        <v>39</v>
      </c>
      <c r="I82" s="10">
        <v>1.0</v>
      </c>
      <c r="J82" s="10">
        <v>4999.0</v>
      </c>
      <c r="K82" s="10">
        <v>10.0</v>
      </c>
      <c r="L82" s="10" t="s">
        <v>28</v>
      </c>
      <c r="M82" s="10" t="s">
        <v>166</v>
      </c>
      <c r="N82" s="10" t="s">
        <v>30</v>
      </c>
      <c r="O82" s="10" t="s">
        <v>31</v>
      </c>
      <c r="P82" s="10" t="s">
        <v>47</v>
      </c>
      <c r="Q82" s="10"/>
      <c r="R82" s="7">
        <f t="shared" si="1"/>
        <v>0</v>
      </c>
      <c r="S82" s="8">
        <f t="shared" si="2"/>
        <v>0</v>
      </c>
      <c r="T82" s="8">
        <f t="shared" si="3"/>
        <v>0</v>
      </c>
      <c r="U82" s="8" t="str">
        <f t="shared" si="4"/>
        <v>Q1</v>
      </c>
      <c r="V82" s="9"/>
      <c r="W82" s="9"/>
      <c r="X82" s="9"/>
      <c r="Y82" s="9"/>
    </row>
    <row r="83">
      <c r="A83" s="10" t="s">
        <v>199</v>
      </c>
      <c r="B83" s="11">
        <v>45821.0</v>
      </c>
      <c r="C83" s="10" t="s">
        <v>34</v>
      </c>
      <c r="D83" s="10" t="s">
        <v>80</v>
      </c>
      <c r="E83" s="10" t="s">
        <v>81</v>
      </c>
      <c r="F83" s="10" t="s">
        <v>51</v>
      </c>
      <c r="G83" s="10" t="s">
        <v>106</v>
      </c>
      <c r="H83" s="10" t="s">
        <v>27</v>
      </c>
      <c r="I83" s="10">
        <v>1.0</v>
      </c>
      <c r="J83" s="10">
        <v>999.0</v>
      </c>
      <c r="K83" s="10">
        <v>10.0</v>
      </c>
      <c r="L83" s="10" t="s">
        <v>45</v>
      </c>
      <c r="M83" s="10" t="s">
        <v>29</v>
      </c>
      <c r="N83" s="10" t="s">
        <v>30</v>
      </c>
      <c r="O83" s="10" t="s">
        <v>67</v>
      </c>
      <c r="P83" s="10" t="s">
        <v>32</v>
      </c>
      <c r="Q83" s="11">
        <v>45911.0</v>
      </c>
      <c r="R83" s="7">
        <f t="shared" si="1"/>
        <v>899.1</v>
      </c>
      <c r="S83" s="8">
        <f t="shared" si="2"/>
        <v>161.838</v>
      </c>
      <c r="T83" s="8">
        <f t="shared" si="3"/>
        <v>1060.938</v>
      </c>
      <c r="U83" s="8" t="str">
        <f t="shared" si="4"/>
        <v>Q2</v>
      </c>
      <c r="V83" s="9"/>
      <c r="W83" s="9"/>
      <c r="X83" s="9"/>
      <c r="Y83" s="9"/>
    </row>
    <row r="84">
      <c r="A84" s="10" t="s">
        <v>200</v>
      </c>
      <c r="B84" s="11">
        <v>45517.0</v>
      </c>
      <c r="C84" s="10" t="s">
        <v>150</v>
      </c>
      <c r="D84" s="10" t="s">
        <v>80</v>
      </c>
      <c r="E84" s="10" t="s">
        <v>81</v>
      </c>
      <c r="F84" s="10" t="s">
        <v>201</v>
      </c>
      <c r="G84" s="10" t="s">
        <v>106</v>
      </c>
      <c r="H84" s="10" t="s">
        <v>27</v>
      </c>
      <c r="I84" s="10">
        <v>1.0</v>
      </c>
      <c r="J84" s="10">
        <v>999.0</v>
      </c>
      <c r="K84" s="10">
        <v>10.0</v>
      </c>
      <c r="L84" s="10" t="s">
        <v>45</v>
      </c>
      <c r="M84" s="10" t="s">
        <v>29</v>
      </c>
      <c r="N84" s="10" t="s">
        <v>57</v>
      </c>
      <c r="O84" s="10" t="s">
        <v>31</v>
      </c>
      <c r="P84" s="10" t="s">
        <v>87</v>
      </c>
      <c r="Q84" s="10"/>
      <c r="R84" s="7">
        <f t="shared" si="1"/>
        <v>0</v>
      </c>
      <c r="S84" s="8">
        <f t="shared" si="2"/>
        <v>0</v>
      </c>
      <c r="T84" s="8">
        <f t="shared" si="3"/>
        <v>0</v>
      </c>
      <c r="U84" s="8" t="str">
        <f t="shared" si="4"/>
        <v>Q3</v>
      </c>
      <c r="V84" s="9"/>
      <c r="W84" s="9"/>
      <c r="X84" s="9"/>
      <c r="Y84" s="9"/>
    </row>
    <row r="85">
      <c r="A85" s="10" t="s">
        <v>202</v>
      </c>
      <c r="B85" s="11">
        <v>45722.0</v>
      </c>
      <c r="C85" s="10" t="s">
        <v>69</v>
      </c>
      <c r="D85" s="10" t="s">
        <v>35</v>
      </c>
      <c r="E85" s="10" t="s">
        <v>36</v>
      </c>
      <c r="F85" s="10" t="s">
        <v>148</v>
      </c>
      <c r="G85" s="10" t="s">
        <v>106</v>
      </c>
      <c r="H85" s="10" t="s">
        <v>27</v>
      </c>
      <c r="I85" s="10">
        <v>1.0</v>
      </c>
      <c r="J85" s="10">
        <v>999.0</v>
      </c>
      <c r="K85" s="10">
        <v>0.0</v>
      </c>
      <c r="L85" s="10" t="s">
        <v>45</v>
      </c>
      <c r="M85" s="10" t="s">
        <v>29</v>
      </c>
      <c r="N85" s="10" t="s">
        <v>30</v>
      </c>
      <c r="O85" s="10" t="s">
        <v>41</v>
      </c>
      <c r="P85" s="10" t="s">
        <v>32</v>
      </c>
      <c r="Q85" s="11">
        <v>46087.0</v>
      </c>
      <c r="R85" s="7">
        <f t="shared" si="1"/>
        <v>999</v>
      </c>
      <c r="S85" s="8">
        <f t="shared" si="2"/>
        <v>179.82</v>
      </c>
      <c r="T85" s="8">
        <f t="shared" si="3"/>
        <v>1178.82</v>
      </c>
      <c r="U85" s="8" t="str">
        <f t="shared" si="4"/>
        <v>Q1</v>
      </c>
      <c r="V85" s="9"/>
      <c r="W85" s="9"/>
      <c r="X85" s="9"/>
      <c r="Y85" s="9"/>
    </row>
    <row r="86">
      <c r="A86" s="10" t="s">
        <v>203</v>
      </c>
      <c r="B86" s="11">
        <v>45793.0</v>
      </c>
      <c r="C86" s="10" t="s">
        <v>134</v>
      </c>
      <c r="D86" s="10" t="s">
        <v>80</v>
      </c>
      <c r="E86" s="10" t="s">
        <v>92</v>
      </c>
      <c r="F86" s="10" t="s">
        <v>117</v>
      </c>
      <c r="G86" s="10" t="s">
        <v>26</v>
      </c>
      <c r="H86" s="10" t="s">
        <v>27</v>
      </c>
      <c r="I86" s="10">
        <v>1.0</v>
      </c>
      <c r="J86" s="10">
        <v>9999.0</v>
      </c>
      <c r="K86" s="10">
        <v>20.0</v>
      </c>
      <c r="L86" s="10" t="s">
        <v>28</v>
      </c>
      <c r="M86" s="10" t="s">
        <v>29</v>
      </c>
      <c r="N86" s="10" t="s">
        <v>40</v>
      </c>
      <c r="O86" s="10" t="s">
        <v>46</v>
      </c>
      <c r="P86" s="10" t="s">
        <v>32</v>
      </c>
      <c r="Q86" s="11">
        <v>46158.0</v>
      </c>
      <c r="R86" s="7">
        <f t="shared" si="1"/>
        <v>7999.2</v>
      </c>
      <c r="S86" s="8">
        <f t="shared" si="2"/>
        <v>1220.216949</v>
      </c>
      <c r="T86" s="8">
        <f t="shared" si="3"/>
        <v>7999.2</v>
      </c>
      <c r="U86" s="8" t="str">
        <f t="shared" si="4"/>
        <v>Q2</v>
      </c>
      <c r="V86" s="9"/>
      <c r="W86" s="9"/>
      <c r="X86" s="9"/>
      <c r="Y86" s="9"/>
    </row>
    <row r="87">
      <c r="A87" s="10" t="s">
        <v>204</v>
      </c>
      <c r="B87" s="11">
        <v>45821.0</v>
      </c>
      <c r="C87" s="10" t="s">
        <v>34</v>
      </c>
      <c r="D87" s="10" t="s">
        <v>80</v>
      </c>
      <c r="E87" s="10" t="s">
        <v>112</v>
      </c>
      <c r="F87" s="10" t="s">
        <v>86</v>
      </c>
      <c r="G87" s="10" t="s">
        <v>106</v>
      </c>
      <c r="H87" s="10" t="s">
        <v>27</v>
      </c>
      <c r="I87" s="10">
        <v>1.0</v>
      </c>
      <c r="J87" s="10">
        <v>999.0</v>
      </c>
      <c r="K87" s="10">
        <v>20.0</v>
      </c>
      <c r="L87" s="10" t="s">
        <v>45</v>
      </c>
      <c r="M87" s="10" t="s">
        <v>29</v>
      </c>
      <c r="N87" s="10" t="s">
        <v>40</v>
      </c>
      <c r="O87" s="10" t="s">
        <v>67</v>
      </c>
      <c r="P87" s="10" t="s">
        <v>62</v>
      </c>
      <c r="Q87" s="10"/>
      <c r="R87" s="7">
        <f t="shared" si="1"/>
        <v>0</v>
      </c>
      <c r="S87" s="8">
        <f t="shared" si="2"/>
        <v>0</v>
      </c>
      <c r="T87" s="8">
        <f t="shared" si="3"/>
        <v>0</v>
      </c>
      <c r="U87" s="8" t="str">
        <f t="shared" si="4"/>
        <v>Q2</v>
      </c>
      <c r="V87" s="9"/>
      <c r="W87" s="9"/>
      <c r="X87" s="9"/>
      <c r="Y87" s="9"/>
    </row>
    <row r="88">
      <c r="A88" s="10" t="s">
        <v>205</v>
      </c>
      <c r="B88" s="11">
        <v>45526.0</v>
      </c>
      <c r="C88" s="10" t="s">
        <v>206</v>
      </c>
      <c r="D88" s="10" t="s">
        <v>35</v>
      </c>
      <c r="E88" s="10" t="s">
        <v>36</v>
      </c>
      <c r="F88" s="10" t="s">
        <v>86</v>
      </c>
      <c r="G88" s="10" t="s">
        <v>66</v>
      </c>
      <c r="H88" s="10" t="s">
        <v>39</v>
      </c>
      <c r="I88" s="10">
        <v>3.0</v>
      </c>
      <c r="J88" s="10">
        <v>14999.0</v>
      </c>
      <c r="K88" s="10">
        <v>10.0</v>
      </c>
      <c r="L88" s="10" t="s">
        <v>45</v>
      </c>
      <c r="M88" s="10" t="s">
        <v>29</v>
      </c>
      <c r="N88" s="10" t="s">
        <v>30</v>
      </c>
      <c r="O88" s="10" t="s">
        <v>31</v>
      </c>
      <c r="P88" s="10" t="s">
        <v>32</v>
      </c>
      <c r="Q88" s="10"/>
      <c r="R88" s="7">
        <f t="shared" si="1"/>
        <v>40497.3</v>
      </c>
      <c r="S88" s="8">
        <f t="shared" si="2"/>
        <v>7289.514</v>
      </c>
      <c r="T88" s="8">
        <f t="shared" si="3"/>
        <v>47786.814</v>
      </c>
      <c r="U88" s="8" t="str">
        <f t="shared" si="4"/>
        <v>Q3</v>
      </c>
      <c r="V88" s="9"/>
      <c r="W88" s="9"/>
      <c r="X88" s="9"/>
      <c r="Y88" s="9"/>
    </row>
    <row r="89">
      <c r="A89" s="10" t="s">
        <v>207</v>
      </c>
      <c r="B89" s="11">
        <v>45665.0</v>
      </c>
      <c r="C89" s="10" t="s">
        <v>150</v>
      </c>
      <c r="D89" s="10" t="s">
        <v>80</v>
      </c>
      <c r="E89" s="10" t="s">
        <v>92</v>
      </c>
      <c r="F89" s="10" t="s">
        <v>65</v>
      </c>
      <c r="G89" s="10" t="s">
        <v>106</v>
      </c>
      <c r="H89" s="10" t="s">
        <v>27</v>
      </c>
      <c r="I89" s="10">
        <v>1.0</v>
      </c>
      <c r="J89" s="10">
        <v>999.0</v>
      </c>
      <c r="K89" s="10">
        <v>10.0</v>
      </c>
      <c r="L89" s="10" t="s">
        <v>28</v>
      </c>
      <c r="M89" s="10" t="s">
        <v>29</v>
      </c>
      <c r="N89" s="10" t="s">
        <v>40</v>
      </c>
      <c r="O89" s="10" t="s">
        <v>67</v>
      </c>
      <c r="P89" s="10" t="s">
        <v>32</v>
      </c>
      <c r="Q89" s="11">
        <v>45695.0</v>
      </c>
      <c r="R89" s="7">
        <f t="shared" si="1"/>
        <v>899.1</v>
      </c>
      <c r="S89" s="8">
        <f t="shared" si="2"/>
        <v>137.1508475</v>
      </c>
      <c r="T89" s="8">
        <f t="shared" si="3"/>
        <v>899.1</v>
      </c>
      <c r="U89" s="8" t="str">
        <f t="shared" si="4"/>
        <v>Q1</v>
      </c>
      <c r="V89" s="9"/>
      <c r="W89" s="9"/>
      <c r="X89" s="9"/>
      <c r="Y89" s="9"/>
    </row>
    <row r="90">
      <c r="A90" s="10" t="s">
        <v>208</v>
      </c>
      <c r="B90" s="10" t="s">
        <v>209</v>
      </c>
      <c r="C90" s="10" t="s">
        <v>147</v>
      </c>
      <c r="D90" s="10" t="s">
        <v>60</v>
      </c>
      <c r="E90" s="10" t="s">
        <v>110</v>
      </c>
      <c r="F90" s="10"/>
      <c r="G90" s="10" t="s">
        <v>38</v>
      </c>
      <c r="H90" s="10" t="s">
        <v>39</v>
      </c>
      <c r="I90" s="10">
        <v>1.0</v>
      </c>
      <c r="J90" s="10">
        <v>4999.0</v>
      </c>
      <c r="K90" s="10">
        <v>0.1</v>
      </c>
      <c r="L90" s="10" t="s">
        <v>28</v>
      </c>
      <c r="M90" s="10" t="s">
        <v>29</v>
      </c>
      <c r="N90" s="10" t="s">
        <v>57</v>
      </c>
      <c r="O90" s="10" t="s">
        <v>67</v>
      </c>
      <c r="P90" s="10" t="s">
        <v>47</v>
      </c>
      <c r="Q90" s="10"/>
      <c r="R90" s="7">
        <f t="shared" si="1"/>
        <v>0</v>
      </c>
      <c r="S90" s="8">
        <f t="shared" si="2"/>
        <v>0</v>
      </c>
      <c r="T90" s="8">
        <f t="shared" si="3"/>
        <v>0</v>
      </c>
      <c r="U90" s="8" t="str">
        <f t="shared" si="4"/>
        <v>Q4</v>
      </c>
      <c r="V90" s="9"/>
      <c r="W90" s="9"/>
      <c r="X90" s="9"/>
      <c r="Y90" s="9"/>
    </row>
    <row r="91">
      <c r="A91" s="10" t="s">
        <v>210</v>
      </c>
      <c r="B91" s="11">
        <v>45506.0</v>
      </c>
      <c r="C91" s="10" t="s">
        <v>105</v>
      </c>
      <c r="D91" s="10" t="s">
        <v>23</v>
      </c>
      <c r="E91" s="10" t="s">
        <v>83</v>
      </c>
      <c r="F91" s="10" t="s">
        <v>86</v>
      </c>
      <c r="G91" s="10" t="s">
        <v>26</v>
      </c>
      <c r="H91" s="10" t="s">
        <v>27</v>
      </c>
      <c r="I91" s="10">
        <v>1.0</v>
      </c>
      <c r="J91" s="10">
        <v>9999.0</v>
      </c>
      <c r="K91" s="10">
        <v>0.15</v>
      </c>
      <c r="L91" s="10" t="s">
        <v>28</v>
      </c>
      <c r="M91" s="10" t="s">
        <v>29</v>
      </c>
      <c r="N91" s="10" t="s">
        <v>57</v>
      </c>
      <c r="O91" s="10" t="s">
        <v>46</v>
      </c>
      <c r="P91" s="10" t="s">
        <v>32</v>
      </c>
      <c r="Q91" s="11">
        <v>45596.0</v>
      </c>
      <c r="R91" s="7">
        <f t="shared" si="1"/>
        <v>9984.0015</v>
      </c>
      <c r="S91" s="8">
        <f t="shared" si="2"/>
        <v>1522.98328</v>
      </c>
      <c r="T91" s="8">
        <f t="shared" si="3"/>
        <v>9984.0015</v>
      </c>
      <c r="U91" s="8" t="str">
        <f t="shared" si="4"/>
        <v>Q3</v>
      </c>
      <c r="V91" s="9"/>
      <c r="W91" s="9"/>
      <c r="X91" s="9"/>
      <c r="Y91" s="9"/>
    </row>
    <row r="92">
      <c r="A92" s="10" t="s">
        <v>211</v>
      </c>
      <c r="B92" s="11">
        <v>45742.0</v>
      </c>
      <c r="C92" s="10" t="s">
        <v>101</v>
      </c>
      <c r="D92" s="10" t="s">
        <v>35</v>
      </c>
      <c r="E92" s="10" t="s">
        <v>128</v>
      </c>
      <c r="F92" s="10" t="s">
        <v>212</v>
      </c>
      <c r="G92" s="10" t="s">
        <v>75</v>
      </c>
      <c r="H92" s="10" t="s">
        <v>56</v>
      </c>
      <c r="I92" s="10">
        <v>1.0</v>
      </c>
      <c r="J92" s="10">
        <v>799.0</v>
      </c>
      <c r="K92" s="10">
        <v>0.1</v>
      </c>
      <c r="L92" s="10" t="s">
        <v>45</v>
      </c>
      <c r="M92" s="10" t="s">
        <v>29</v>
      </c>
      <c r="N92" s="10" t="s">
        <v>57</v>
      </c>
      <c r="O92" s="10" t="s">
        <v>41</v>
      </c>
      <c r="P92" s="10" t="s">
        <v>32</v>
      </c>
      <c r="Q92" s="10"/>
      <c r="R92" s="7">
        <f t="shared" si="1"/>
        <v>798.201</v>
      </c>
      <c r="S92" s="8">
        <f t="shared" si="2"/>
        <v>143.67618</v>
      </c>
      <c r="T92" s="8">
        <f t="shared" si="3"/>
        <v>941.87718</v>
      </c>
      <c r="U92" s="8" t="str">
        <f t="shared" si="4"/>
        <v>Q1</v>
      </c>
      <c r="V92" s="9"/>
      <c r="W92" s="9"/>
      <c r="X92" s="9"/>
      <c r="Y92" s="9"/>
    </row>
    <row r="93">
      <c r="A93" s="10" t="s">
        <v>213</v>
      </c>
      <c r="B93" s="11">
        <v>45597.0</v>
      </c>
      <c r="C93" s="10" t="s">
        <v>43</v>
      </c>
      <c r="D93" s="10" t="s">
        <v>35</v>
      </c>
      <c r="E93" s="10" t="s">
        <v>50</v>
      </c>
      <c r="F93" s="10" t="s">
        <v>65</v>
      </c>
      <c r="G93" s="10" t="s">
        <v>66</v>
      </c>
      <c r="H93" s="10" t="s">
        <v>39</v>
      </c>
      <c r="I93" s="10">
        <v>5.0</v>
      </c>
      <c r="J93" s="10">
        <v>14999.0</v>
      </c>
      <c r="K93" s="10">
        <v>0.15</v>
      </c>
      <c r="L93" s="10" t="s">
        <v>28</v>
      </c>
      <c r="M93" s="10" t="s">
        <v>29</v>
      </c>
      <c r="N93" s="10" t="s">
        <v>94</v>
      </c>
      <c r="O93" s="10" t="s">
        <v>67</v>
      </c>
      <c r="P93" s="10" t="s">
        <v>62</v>
      </c>
      <c r="Q93" s="10"/>
      <c r="R93" s="7">
        <f t="shared" si="1"/>
        <v>0</v>
      </c>
      <c r="S93" s="8">
        <f t="shared" si="2"/>
        <v>0</v>
      </c>
      <c r="T93" s="8">
        <f t="shared" si="3"/>
        <v>0</v>
      </c>
      <c r="U93" s="8" t="str">
        <f t="shared" si="4"/>
        <v>Q4</v>
      </c>
      <c r="V93" s="9"/>
      <c r="W93" s="9"/>
      <c r="X93" s="9"/>
      <c r="Y93" s="9"/>
    </row>
    <row r="94">
      <c r="A94" s="10" t="s">
        <v>214</v>
      </c>
      <c r="B94" s="10" t="s">
        <v>215</v>
      </c>
      <c r="C94" s="10" t="s">
        <v>125</v>
      </c>
      <c r="D94" s="10" t="s">
        <v>60</v>
      </c>
      <c r="E94" s="10" t="s">
        <v>110</v>
      </c>
      <c r="F94" s="10" t="s">
        <v>25</v>
      </c>
      <c r="G94" s="10" t="s">
        <v>38</v>
      </c>
      <c r="H94" s="10" t="s">
        <v>39</v>
      </c>
      <c r="I94" s="10">
        <v>1.0</v>
      </c>
      <c r="J94" s="10">
        <v>4999.0</v>
      </c>
      <c r="K94" s="10">
        <v>5.0</v>
      </c>
      <c r="L94" s="10" t="s">
        <v>45</v>
      </c>
      <c r="M94" s="10" t="s">
        <v>29</v>
      </c>
      <c r="N94" s="10" t="s">
        <v>40</v>
      </c>
      <c r="O94" s="10" t="s">
        <v>31</v>
      </c>
      <c r="P94" s="10" t="s">
        <v>87</v>
      </c>
      <c r="Q94" s="10"/>
      <c r="R94" s="7">
        <f t="shared" si="1"/>
        <v>0</v>
      </c>
      <c r="S94" s="8">
        <f t="shared" si="2"/>
        <v>0</v>
      </c>
      <c r="T94" s="8">
        <f t="shared" si="3"/>
        <v>0</v>
      </c>
      <c r="U94" s="8" t="str">
        <f t="shared" si="4"/>
        <v>Q1</v>
      </c>
      <c r="V94" s="9"/>
      <c r="W94" s="9"/>
      <c r="X94" s="9"/>
      <c r="Y94" s="9"/>
    </row>
    <row r="95">
      <c r="A95" s="10" t="s">
        <v>216</v>
      </c>
      <c r="B95" s="11">
        <v>45809.0</v>
      </c>
      <c r="C95" s="10" t="s">
        <v>119</v>
      </c>
      <c r="D95" s="10" t="s">
        <v>23</v>
      </c>
      <c r="E95" s="10" t="s">
        <v>73</v>
      </c>
      <c r="F95" s="10" t="s">
        <v>51</v>
      </c>
      <c r="G95" s="10" t="s">
        <v>106</v>
      </c>
      <c r="H95" s="10" t="s">
        <v>27</v>
      </c>
      <c r="I95" s="10">
        <v>1.0</v>
      </c>
      <c r="J95" s="10">
        <v>999.0</v>
      </c>
      <c r="K95" s="10">
        <v>10.0</v>
      </c>
      <c r="L95" s="10" t="s">
        <v>45</v>
      </c>
      <c r="M95" s="10" t="s">
        <v>29</v>
      </c>
      <c r="N95" s="10" t="s">
        <v>40</v>
      </c>
      <c r="O95" s="10" t="s">
        <v>67</v>
      </c>
      <c r="P95" s="10" t="s">
        <v>32</v>
      </c>
      <c r="Q95" s="11">
        <v>45899.0</v>
      </c>
      <c r="R95" s="7">
        <f t="shared" si="1"/>
        <v>899.1</v>
      </c>
      <c r="S95" s="8">
        <f t="shared" si="2"/>
        <v>161.838</v>
      </c>
      <c r="T95" s="8">
        <f t="shared" si="3"/>
        <v>1060.938</v>
      </c>
      <c r="U95" s="8" t="str">
        <f t="shared" si="4"/>
        <v>Q2</v>
      </c>
      <c r="V95" s="9"/>
      <c r="W95" s="9"/>
      <c r="X95" s="9"/>
      <c r="Y95" s="9"/>
    </row>
    <row r="96">
      <c r="A96" s="10" t="s">
        <v>217</v>
      </c>
      <c r="B96" s="11">
        <v>45782.0</v>
      </c>
      <c r="C96" s="10" t="s">
        <v>161</v>
      </c>
      <c r="D96" s="10" t="s">
        <v>35</v>
      </c>
      <c r="E96" s="10" t="s">
        <v>50</v>
      </c>
      <c r="F96" s="10" t="s">
        <v>65</v>
      </c>
      <c r="G96" s="10" t="s">
        <v>38</v>
      </c>
      <c r="H96" s="10" t="s">
        <v>39</v>
      </c>
      <c r="I96" s="10">
        <v>1.0</v>
      </c>
      <c r="J96" s="10">
        <v>4999.0</v>
      </c>
      <c r="K96" s="10">
        <v>10.0</v>
      </c>
      <c r="L96" s="10" t="s">
        <v>28</v>
      </c>
      <c r="M96" s="10" t="s">
        <v>29</v>
      </c>
      <c r="N96" s="10" t="s">
        <v>40</v>
      </c>
      <c r="O96" s="10" t="s">
        <v>31</v>
      </c>
      <c r="P96" s="10" t="s">
        <v>32</v>
      </c>
      <c r="Q96" s="10"/>
      <c r="R96" s="7">
        <f t="shared" si="1"/>
        <v>4499.1</v>
      </c>
      <c r="S96" s="8">
        <f t="shared" si="2"/>
        <v>686.3033898</v>
      </c>
      <c r="T96" s="8">
        <f t="shared" si="3"/>
        <v>4499.1</v>
      </c>
      <c r="U96" s="8" t="str">
        <f t="shared" si="4"/>
        <v>Q2</v>
      </c>
      <c r="V96" s="9"/>
      <c r="W96" s="9"/>
      <c r="X96" s="9"/>
      <c r="Y96" s="9"/>
    </row>
    <row r="97">
      <c r="A97" s="10" t="s">
        <v>218</v>
      </c>
      <c r="B97" s="11">
        <v>45788.0</v>
      </c>
      <c r="C97" s="10" t="s">
        <v>49</v>
      </c>
      <c r="D97" s="10" t="s">
        <v>60</v>
      </c>
      <c r="E97" s="10" t="s">
        <v>61</v>
      </c>
      <c r="F97" s="10" t="s">
        <v>65</v>
      </c>
      <c r="G97" s="10" t="s">
        <v>55</v>
      </c>
      <c r="H97" s="10" t="s">
        <v>56</v>
      </c>
      <c r="I97" s="10">
        <v>1.0</v>
      </c>
      <c r="J97" s="10">
        <v>1499.0</v>
      </c>
      <c r="K97" s="10">
        <v>0.0</v>
      </c>
      <c r="L97" s="10" t="s">
        <v>45</v>
      </c>
      <c r="M97" s="10" t="s">
        <v>29</v>
      </c>
      <c r="N97" s="10" t="s">
        <v>57</v>
      </c>
      <c r="O97" s="10" t="s">
        <v>67</v>
      </c>
      <c r="P97" s="10" t="s">
        <v>32</v>
      </c>
      <c r="Q97" s="10"/>
      <c r="R97" s="7">
        <f t="shared" si="1"/>
        <v>1499</v>
      </c>
      <c r="S97" s="8">
        <f t="shared" si="2"/>
        <v>269.82</v>
      </c>
      <c r="T97" s="8">
        <f t="shared" si="3"/>
        <v>1768.82</v>
      </c>
      <c r="U97" s="8" t="str">
        <f t="shared" si="4"/>
        <v>Q2</v>
      </c>
      <c r="V97" s="9"/>
      <c r="W97" s="9"/>
      <c r="X97" s="9"/>
      <c r="Y97" s="9"/>
    </row>
    <row r="98">
      <c r="A98" s="10" t="s">
        <v>219</v>
      </c>
      <c r="B98" s="11">
        <v>45661.0</v>
      </c>
      <c r="C98" s="10" t="s">
        <v>220</v>
      </c>
      <c r="D98" s="10" t="s">
        <v>80</v>
      </c>
      <c r="E98" s="10" t="s">
        <v>92</v>
      </c>
      <c r="F98" s="10" t="s">
        <v>25</v>
      </c>
      <c r="G98" s="10" t="s">
        <v>93</v>
      </c>
      <c r="H98" s="10" t="s">
        <v>27</v>
      </c>
      <c r="I98" s="10">
        <v>1.0</v>
      </c>
      <c r="J98" s="10">
        <v>2999.0</v>
      </c>
      <c r="K98" s="10">
        <v>0.0</v>
      </c>
      <c r="L98" s="10" t="s">
        <v>28</v>
      </c>
      <c r="M98" s="10" t="s">
        <v>29</v>
      </c>
      <c r="N98" s="10" t="s">
        <v>57</v>
      </c>
      <c r="O98" s="10" t="s">
        <v>41</v>
      </c>
      <c r="P98" s="10" t="s">
        <v>77</v>
      </c>
      <c r="Q98" s="10"/>
      <c r="R98" s="7">
        <f t="shared" si="1"/>
        <v>0</v>
      </c>
      <c r="S98" s="8">
        <f t="shared" si="2"/>
        <v>0</v>
      </c>
      <c r="T98" s="8">
        <f t="shared" si="3"/>
        <v>0</v>
      </c>
      <c r="U98" s="8" t="str">
        <f t="shared" si="4"/>
        <v>Q1</v>
      </c>
      <c r="V98" s="9"/>
      <c r="W98" s="9"/>
      <c r="X98" s="9"/>
      <c r="Y98" s="9"/>
    </row>
    <row r="99">
      <c r="A99" s="10" t="s">
        <v>221</v>
      </c>
      <c r="B99" s="11">
        <v>45569.0</v>
      </c>
      <c r="C99" s="10" t="s">
        <v>206</v>
      </c>
      <c r="D99" s="10" t="s">
        <v>35</v>
      </c>
      <c r="E99" s="10" t="s">
        <v>85</v>
      </c>
      <c r="F99" s="10" t="s">
        <v>148</v>
      </c>
      <c r="G99" s="10" t="s">
        <v>106</v>
      </c>
      <c r="H99" s="10" t="s">
        <v>27</v>
      </c>
      <c r="I99" s="10">
        <v>1.0</v>
      </c>
      <c r="J99" s="10">
        <v>999.0</v>
      </c>
      <c r="K99" s="10">
        <v>0.1</v>
      </c>
      <c r="L99" s="10" t="s">
        <v>28</v>
      </c>
      <c r="M99" s="10" t="s">
        <v>29</v>
      </c>
      <c r="N99" s="10" t="s">
        <v>40</v>
      </c>
      <c r="O99" s="10" t="s">
        <v>46</v>
      </c>
      <c r="P99" s="10" t="s">
        <v>32</v>
      </c>
      <c r="Q99" s="11">
        <v>45934.0</v>
      </c>
      <c r="R99" s="7">
        <f t="shared" si="1"/>
        <v>998.001</v>
      </c>
      <c r="S99" s="8">
        <f t="shared" si="2"/>
        <v>152.2374407</v>
      </c>
      <c r="T99" s="8">
        <f t="shared" si="3"/>
        <v>998.001</v>
      </c>
      <c r="U99" s="8" t="str">
        <f t="shared" si="4"/>
        <v>Q4</v>
      </c>
      <c r="V99" s="9"/>
      <c r="W99" s="9"/>
      <c r="X99" s="9"/>
      <c r="Y99" s="9"/>
    </row>
    <row r="100">
      <c r="A100" s="10" t="s">
        <v>222</v>
      </c>
      <c r="B100" s="11">
        <v>45701.0</v>
      </c>
      <c r="C100" s="10" t="s">
        <v>161</v>
      </c>
      <c r="D100" s="10" t="s">
        <v>80</v>
      </c>
      <c r="E100" s="10" t="s">
        <v>151</v>
      </c>
      <c r="F100" s="10" t="s">
        <v>65</v>
      </c>
      <c r="G100" s="10" t="s">
        <v>26</v>
      </c>
      <c r="H100" s="10" t="s">
        <v>27</v>
      </c>
      <c r="I100" s="10">
        <v>1.0</v>
      </c>
      <c r="J100" s="10">
        <v>9999.0</v>
      </c>
      <c r="K100" s="10">
        <v>10.0</v>
      </c>
      <c r="L100" s="10" t="s">
        <v>45</v>
      </c>
      <c r="M100" s="10" t="s">
        <v>29</v>
      </c>
      <c r="N100" s="10" t="s">
        <v>114</v>
      </c>
      <c r="O100" s="10" t="s">
        <v>46</v>
      </c>
      <c r="P100" s="10" t="s">
        <v>77</v>
      </c>
      <c r="Q100" s="10"/>
      <c r="R100" s="7">
        <f t="shared" si="1"/>
        <v>0</v>
      </c>
      <c r="S100" s="8">
        <f t="shared" si="2"/>
        <v>0</v>
      </c>
      <c r="T100" s="8">
        <f t="shared" si="3"/>
        <v>0</v>
      </c>
      <c r="U100" s="8" t="str">
        <f t="shared" si="4"/>
        <v>Q1</v>
      </c>
      <c r="V100" s="9"/>
      <c r="W100" s="9"/>
      <c r="X100" s="9"/>
      <c r="Y100" s="9"/>
    </row>
    <row r="101">
      <c r="A101" s="10" t="s">
        <v>223</v>
      </c>
      <c r="B101" s="11">
        <v>45545.0</v>
      </c>
      <c r="C101" s="10" t="s">
        <v>49</v>
      </c>
      <c r="D101" s="10" t="s">
        <v>80</v>
      </c>
      <c r="E101" s="10" t="s">
        <v>81</v>
      </c>
      <c r="F101" s="10" t="s">
        <v>25</v>
      </c>
      <c r="G101" s="10" t="s">
        <v>75</v>
      </c>
      <c r="H101" s="10" t="s">
        <v>56</v>
      </c>
      <c r="I101" s="10">
        <v>-2.0</v>
      </c>
      <c r="J101" s="10">
        <v>799.0</v>
      </c>
      <c r="K101" s="10">
        <v>0.1</v>
      </c>
      <c r="L101" s="10" t="s">
        <v>45</v>
      </c>
      <c r="M101" s="10" t="s">
        <v>29</v>
      </c>
      <c r="N101" s="10" t="s">
        <v>40</v>
      </c>
      <c r="O101" s="10" t="s">
        <v>41</v>
      </c>
      <c r="P101" s="12" t="s">
        <v>77</v>
      </c>
      <c r="Q101" s="10"/>
      <c r="R101" s="7">
        <f t="shared" si="1"/>
        <v>0</v>
      </c>
      <c r="S101" s="8">
        <f t="shared" si="2"/>
        <v>0</v>
      </c>
      <c r="T101" s="8">
        <f t="shared" si="3"/>
        <v>0</v>
      </c>
      <c r="U101" s="8" t="str">
        <f t="shared" si="4"/>
        <v>Q3</v>
      </c>
      <c r="V101" s="9"/>
      <c r="W101" s="9"/>
      <c r="X101" s="9"/>
      <c r="Y101" s="9"/>
    </row>
    <row r="102">
      <c r="A102" s="10" t="s">
        <v>224</v>
      </c>
      <c r="B102" s="11">
        <v>45768.0</v>
      </c>
      <c r="C102" s="10" t="s">
        <v>225</v>
      </c>
      <c r="D102" s="10" t="s">
        <v>35</v>
      </c>
      <c r="E102" s="10" t="s">
        <v>85</v>
      </c>
      <c r="F102" s="10" t="s">
        <v>86</v>
      </c>
      <c r="G102" s="10" t="s">
        <v>66</v>
      </c>
      <c r="H102" s="10" t="s">
        <v>39</v>
      </c>
      <c r="I102" s="10">
        <v>1.0</v>
      </c>
      <c r="J102" s="10">
        <v>14999.0</v>
      </c>
      <c r="K102" s="10">
        <v>20.0</v>
      </c>
      <c r="L102" s="10" t="s">
        <v>45</v>
      </c>
      <c r="M102" s="10" t="s">
        <v>29</v>
      </c>
      <c r="N102" s="10" t="s">
        <v>57</v>
      </c>
      <c r="O102" s="10" t="s">
        <v>67</v>
      </c>
      <c r="P102" s="10" t="s">
        <v>32</v>
      </c>
      <c r="Q102" s="10"/>
      <c r="R102" s="7">
        <f t="shared" si="1"/>
        <v>11999.2</v>
      </c>
      <c r="S102" s="8">
        <f t="shared" si="2"/>
        <v>2159.856</v>
      </c>
      <c r="T102" s="8">
        <f t="shared" si="3"/>
        <v>14159.056</v>
      </c>
      <c r="U102" s="8" t="str">
        <f t="shared" si="4"/>
        <v>Q2</v>
      </c>
      <c r="V102" s="9"/>
      <c r="W102" s="9"/>
      <c r="X102" s="9"/>
      <c r="Y102" s="9"/>
    </row>
    <row r="103">
      <c r="A103" s="10" t="s">
        <v>226</v>
      </c>
      <c r="B103" s="11">
        <v>45556.0</v>
      </c>
      <c r="C103" s="10" t="s">
        <v>206</v>
      </c>
      <c r="D103" s="10" t="s">
        <v>60</v>
      </c>
      <c r="E103" s="10" t="s">
        <v>102</v>
      </c>
      <c r="F103" s="10" t="s">
        <v>65</v>
      </c>
      <c r="G103" s="10" t="s">
        <v>38</v>
      </c>
      <c r="H103" s="10" t="s">
        <v>39</v>
      </c>
      <c r="I103" s="10">
        <v>5.0</v>
      </c>
      <c r="J103" s="10">
        <v>4999.0</v>
      </c>
      <c r="K103" s="10">
        <v>0.1</v>
      </c>
      <c r="L103" s="10" t="s">
        <v>45</v>
      </c>
      <c r="M103" s="10" t="s">
        <v>29</v>
      </c>
      <c r="N103" s="10" t="s">
        <v>30</v>
      </c>
      <c r="O103" s="10" t="s">
        <v>46</v>
      </c>
      <c r="P103" s="10" t="s">
        <v>87</v>
      </c>
      <c r="Q103" s="10"/>
      <c r="R103" s="7">
        <f t="shared" si="1"/>
        <v>0</v>
      </c>
      <c r="S103" s="8">
        <f t="shared" si="2"/>
        <v>0</v>
      </c>
      <c r="T103" s="8">
        <f t="shared" si="3"/>
        <v>0</v>
      </c>
      <c r="U103" s="8" t="str">
        <f t="shared" si="4"/>
        <v>Q3</v>
      </c>
      <c r="V103" s="9"/>
      <c r="W103" s="9"/>
      <c r="X103" s="9"/>
      <c r="Y103" s="9"/>
    </row>
    <row r="104">
      <c r="A104" s="10" t="s">
        <v>227</v>
      </c>
      <c r="B104" s="11">
        <v>45783.0</v>
      </c>
      <c r="C104" s="10" t="s">
        <v>96</v>
      </c>
      <c r="D104" s="10" t="s">
        <v>23</v>
      </c>
      <c r="E104" s="10" t="s">
        <v>73</v>
      </c>
      <c r="F104" s="10" t="s">
        <v>103</v>
      </c>
      <c r="G104" s="10" t="s">
        <v>75</v>
      </c>
      <c r="H104" s="10" t="s">
        <v>56</v>
      </c>
      <c r="I104" s="10">
        <v>3.0</v>
      </c>
      <c r="J104" s="10">
        <v>799.0</v>
      </c>
      <c r="K104" s="10">
        <v>0.0</v>
      </c>
      <c r="L104" s="10" t="s">
        <v>28</v>
      </c>
      <c r="M104" s="10" t="s">
        <v>29</v>
      </c>
      <c r="N104" s="10" t="s">
        <v>57</v>
      </c>
      <c r="O104" s="10" t="s">
        <v>31</v>
      </c>
      <c r="P104" s="10" t="s">
        <v>32</v>
      </c>
      <c r="Q104" s="10"/>
      <c r="R104" s="7">
        <f t="shared" si="1"/>
        <v>2397</v>
      </c>
      <c r="S104" s="8">
        <f t="shared" si="2"/>
        <v>365.6440678</v>
      </c>
      <c r="T104" s="8">
        <f t="shared" si="3"/>
        <v>2397</v>
      </c>
      <c r="U104" s="8" t="str">
        <f t="shared" si="4"/>
        <v>Q2</v>
      </c>
      <c r="V104" s="9"/>
      <c r="W104" s="9"/>
      <c r="X104" s="9"/>
      <c r="Y104" s="9"/>
    </row>
    <row r="105">
      <c r="A105" s="10" t="s">
        <v>228</v>
      </c>
      <c r="B105" s="11">
        <v>45824.0</v>
      </c>
      <c r="C105" s="10" t="s">
        <v>220</v>
      </c>
      <c r="D105" s="10" t="s">
        <v>60</v>
      </c>
      <c r="E105" s="10" t="s">
        <v>61</v>
      </c>
      <c r="F105" s="10" t="s">
        <v>51</v>
      </c>
      <c r="G105" s="10" t="s">
        <v>66</v>
      </c>
      <c r="H105" s="10" t="s">
        <v>39</v>
      </c>
      <c r="I105" s="10">
        <v>2.0</v>
      </c>
      <c r="J105" s="10">
        <v>14999.0</v>
      </c>
      <c r="K105" s="10">
        <v>0.0</v>
      </c>
      <c r="L105" s="10" t="s">
        <v>28</v>
      </c>
      <c r="M105" s="10" t="s">
        <v>29</v>
      </c>
      <c r="N105" s="10" t="s">
        <v>40</v>
      </c>
      <c r="O105" s="10" t="s">
        <v>67</v>
      </c>
      <c r="P105" s="10" t="s">
        <v>32</v>
      </c>
      <c r="Q105" s="10"/>
      <c r="R105" s="7">
        <f t="shared" si="1"/>
        <v>29998</v>
      </c>
      <c r="S105" s="8">
        <f t="shared" si="2"/>
        <v>4575.966102</v>
      </c>
      <c r="T105" s="8">
        <f t="shared" si="3"/>
        <v>29998</v>
      </c>
      <c r="U105" s="8" t="str">
        <f t="shared" si="4"/>
        <v>Q2</v>
      </c>
      <c r="V105" s="9"/>
      <c r="W105" s="9"/>
      <c r="X105" s="9"/>
      <c r="Y105" s="9"/>
    </row>
    <row r="106">
      <c r="A106" s="10" t="s">
        <v>229</v>
      </c>
      <c r="B106" s="11">
        <v>45528.0</v>
      </c>
      <c r="C106" s="10" t="s">
        <v>183</v>
      </c>
      <c r="D106" s="10" t="s">
        <v>35</v>
      </c>
      <c r="E106" s="10" t="s">
        <v>50</v>
      </c>
      <c r="F106" s="10" t="s">
        <v>37</v>
      </c>
      <c r="G106" s="10" t="s">
        <v>55</v>
      </c>
      <c r="H106" s="10" t="s">
        <v>56</v>
      </c>
      <c r="I106" s="10">
        <v>2.0</v>
      </c>
      <c r="J106" s="10">
        <v>1499.0</v>
      </c>
      <c r="K106" s="10">
        <v>20.0</v>
      </c>
      <c r="L106" s="10" t="s">
        <v>45</v>
      </c>
      <c r="M106" s="10" t="s">
        <v>29</v>
      </c>
      <c r="N106" s="10" t="s">
        <v>70</v>
      </c>
      <c r="O106" s="10" t="s">
        <v>31</v>
      </c>
      <c r="P106" s="10" t="s">
        <v>32</v>
      </c>
      <c r="Q106" s="10"/>
      <c r="R106" s="7">
        <f t="shared" si="1"/>
        <v>2398.4</v>
      </c>
      <c r="S106" s="8">
        <f t="shared" si="2"/>
        <v>431.712</v>
      </c>
      <c r="T106" s="8">
        <f t="shared" si="3"/>
        <v>2830.112</v>
      </c>
      <c r="U106" s="8" t="str">
        <f t="shared" si="4"/>
        <v>Q3</v>
      </c>
      <c r="V106" s="9"/>
      <c r="W106" s="9"/>
      <c r="X106" s="9"/>
      <c r="Y106" s="9"/>
    </row>
    <row r="107">
      <c r="A107" s="10" t="s">
        <v>230</v>
      </c>
      <c r="B107" s="11">
        <v>45737.0</v>
      </c>
      <c r="C107" s="10" t="s">
        <v>72</v>
      </c>
      <c r="D107" s="10" t="s">
        <v>80</v>
      </c>
      <c r="E107" s="10" t="s">
        <v>81</v>
      </c>
      <c r="F107" s="10" t="s">
        <v>148</v>
      </c>
      <c r="G107" s="10" t="s">
        <v>75</v>
      </c>
      <c r="H107" s="10" t="s">
        <v>56</v>
      </c>
      <c r="I107" s="10">
        <v>1.0</v>
      </c>
      <c r="J107" s="10">
        <v>799.0</v>
      </c>
      <c r="K107" s="10">
        <v>0.0</v>
      </c>
      <c r="L107" s="10" t="s">
        <v>28</v>
      </c>
      <c r="M107" s="10" t="s">
        <v>29</v>
      </c>
      <c r="N107" s="10" t="s">
        <v>57</v>
      </c>
      <c r="O107" s="10" t="s">
        <v>46</v>
      </c>
      <c r="P107" s="10" t="s">
        <v>47</v>
      </c>
      <c r="Q107" s="10"/>
      <c r="R107" s="7">
        <f t="shared" si="1"/>
        <v>0</v>
      </c>
      <c r="S107" s="8">
        <f t="shared" si="2"/>
        <v>0</v>
      </c>
      <c r="T107" s="8">
        <f t="shared" si="3"/>
        <v>0</v>
      </c>
      <c r="U107" s="8" t="str">
        <f t="shared" si="4"/>
        <v>Q1</v>
      </c>
      <c r="V107" s="9"/>
      <c r="W107" s="9"/>
      <c r="X107" s="9"/>
      <c r="Y107" s="9"/>
    </row>
    <row r="108">
      <c r="A108" s="10" t="s">
        <v>231</v>
      </c>
      <c r="B108" s="11">
        <v>45714.0</v>
      </c>
      <c r="C108" s="10" t="s">
        <v>91</v>
      </c>
      <c r="D108" s="10" t="s">
        <v>23</v>
      </c>
      <c r="E108" s="10" t="s">
        <v>24</v>
      </c>
      <c r="F108" s="10" t="s">
        <v>44</v>
      </c>
      <c r="G108" s="10" t="s">
        <v>55</v>
      </c>
      <c r="H108" s="10" t="s">
        <v>56</v>
      </c>
      <c r="I108" s="10">
        <v>1.0</v>
      </c>
      <c r="J108" s="10">
        <v>1499.0</v>
      </c>
      <c r="K108" s="10">
        <v>15.0</v>
      </c>
      <c r="L108" s="10" t="s">
        <v>45</v>
      </c>
      <c r="M108" s="10" t="s">
        <v>29</v>
      </c>
      <c r="N108" s="10" t="s">
        <v>40</v>
      </c>
      <c r="O108" s="10" t="s">
        <v>31</v>
      </c>
      <c r="P108" s="10" t="s">
        <v>32</v>
      </c>
      <c r="Q108" s="10"/>
      <c r="R108" s="7">
        <f t="shared" si="1"/>
        <v>1274.15</v>
      </c>
      <c r="S108" s="8">
        <f t="shared" si="2"/>
        <v>229.347</v>
      </c>
      <c r="T108" s="8">
        <f t="shared" si="3"/>
        <v>1503.497</v>
      </c>
      <c r="U108" s="8" t="str">
        <f t="shared" si="4"/>
        <v>Q1</v>
      </c>
      <c r="V108" s="9"/>
      <c r="W108" s="9"/>
      <c r="X108" s="9"/>
      <c r="Y108" s="9"/>
    </row>
    <row r="109">
      <c r="A109" s="10" t="s">
        <v>232</v>
      </c>
      <c r="B109" s="11">
        <v>45755.0</v>
      </c>
      <c r="C109" s="10" t="s">
        <v>91</v>
      </c>
      <c r="D109" s="10" t="s">
        <v>80</v>
      </c>
      <c r="E109" s="10" t="s">
        <v>81</v>
      </c>
      <c r="F109" s="10" t="s">
        <v>54</v>
      </c>
      <c r="G109" s="10" t="s">
        <v>75</v>
      </c>
      <c r="H109" s="10" t="s">
        <v>56</v>
      </c>
      <c r="I109" s="10">
        <v>3.0</v>
      </c>
      <c r="J109" s="10">
        <v>799.0</v>
      </c>
      <c r="K109" s="10">
        <v>0.0</v>
      </c>
      <c r="L109" s="10" t="s">
        <v>28</v>
      </c>
      <c r="M109" s="10" t="s">
        <v>29</v>
      </c>
      <c r="N109" s="10" t="s">
        <v>30</v>
      </c>
      <c r="O109" s="10" t="s">
        <v>46</v>
      </c>
      <c r="P109" s="10" t="s">
        <v>32</v>
      </c>
      <c r="Q109" s="10"/>
      <c r="R109" s="7">
        <f t="shared" si="1"/>
        <v>2397</v>
      </c>
      <c r="S109" s="8">
        <f t="shared" si="2"/>
        <v>365.6440678</v>
      </c>
      <c r="T109" s="8">
        <f t="shared" si="3"/>
        <v>2397</v>
      </c>
      <c r="U109" s="8" t="str">
        <f t="shared" si="4"/>
        <v>Q2</v>
      </c>
      <c r="V109" s="9"/>
      <c r="W109" s="9"/>
      <c r="X109" s="9"/>
      <c r="Y109" s="9"/>
    </row>
    <row r="110">
      <c r="A110" s="10" t="s">
        <v>233</v>
      </c>
      <c r="B110" s="11">
        <v>45644.0</v>
      </c>
      <c r="C110" s="10" t="s">
        <v>109</v>
      </c>
      <c r="D110" s="10" t="s">
        <v>80</v>
      </c>
      <c r="E110" s="10" t="s">
        <v>92</v>
      </c>
      <c r="F110" s="10" t="s">
        <v>74</v>
      </c>
      <c r="G110" s="10" t="s">
        <v>75</v>
      </c>
      <c r="H110" s="10" t="s">
        <v>56</v>
      </c>
      <c r="I110" s="10">
        <v>3.0</v>
      </c>
      <c r="J110" s="10">
        <v>799.0</v>
      </c>
      <c r="K110" s="10">
        <v>0.15</v>
      </c>
      <c r="L110" s="10" t="s">
        <v>45</v>
      </c>
      <c r="M110" s="10" t="s">
        <v>29</v>
      </c>
      <c r="N110" s="10" t="s">
        <v>30</v>
      </c>
      <c r="O110" s="10" t="s">
        <v>31</v>
      </c>
      <c r="P110" s="10" t="s">
        <v>87</v>
      </c>
      <c r="Q110" s="10"/>
      <c r="R110" s="7">
        <f t="shared" si="1"/>
        <v>0</v>
      </c>
      <c r="S110" s="8">
        <f t="shared" si="2"/>
        <v>0</v>
      </c>
      <c r="T110" s="8">
        <f t="shared" si="3"/>
        <v>0</v>
      </c>
      <c r="U110" s="8" t="str">
        <f t="shared" si="4"/>
        <v>Q4</v>
      </c>
      <c r="V110" s="9"/>
      <c r="W110" s="9"/>
      <c r="X110" s="9"/>
      <c r="Y110" s="9"/>
    </row>
    <row r="111">
      <c r="A111" s="10" t="s">
        <v>234</v>
      </c>
      <c r="B111" s="11">
        <v>45662.0</v>
      </c>
      <c r="C111" s="10" t="s">
        <v>105</v>
      </c>
      <c r="D111" s="10" t="s">
        <v>35</v>
      </c>
      <c r="E111" s="10" t="s">
        <v>85</v>
      </c>
      <c r="F111" s="10" t="s">
        <v>44</v>
      </c>
      <c r="G111" s="10" t="s">
        <v>66</v>
      </c>
      <c r="H111" s="10" t="s">
        <v>39</v>
      </c>
      <c r="I111" s="10">
        <v>1.0</v>
      </c>
      <c r="J111" s="10">
        <v>14999.0</v>
      </c>
      <c r="K111" s="10">
        <v>0.15</v>
      </c>
      <c r="L111" s="10" t="s">
        <v>28</v>
      </c>
      <c r="M111" s="10" t="s">
        <v>29</v>
      </c>
      <c r="N111" s="10" t="s">
        <v>57</v>
      </c>
      <c r="O111" s="10" t="s">
        <v>46</v>
      </c>
      <c r="P111" s="10" t="s">
        <v>32</v>
      </c>
      <c r="Q111" s="10"/>
      <c r="R111" s="7">
        <f t="shared" si="1"/>
        <v>14976.5015</v>
      </c>
      <c r="S111" s="8">
        <f t="shared" si="2"/>
        <v>2284.551076</v>
      </c>
      <c r="T111" s="8">
        <f t="shared" si="3"/>
        <v>14976.5015</v>
      </c>
      <c r="U111" s="8" t="str">
        <f t="shared" si="4"/>
        <v>Q1</v>
      </c>
      <c r="V111" s="9"/>
      <c r="W111" s="9"/>
      <c r="X111" s="9"/>
      <c r="Y111" s="9"/>
    </row>
    <row r="112">
      <c r="A112" s="10" t="s">
        <v>235</v>
      </c>
      <c r="B112" s="11">
        <v>45668.0</v>
      </c>
      <c r="C112" s="10" t="s">
        <v>53</v>
      </c>
      <c r="D112" s="10" t="s">
        <v>23</v>
      </c>
      <c r="E112" s="10" t="s">
        <v>99</v>
      </c>
      <c r="F112" s="10" t="s">
        <v>44</v>
      </c>
      <c r="G112" s="10" t="s">
        <v>26</v>
      </c>
      <c r="H112" s="10" t="s">
        <v>27</v>
      </c>
      <c r="I112" s="10">
        <v>1.0</v>
      </c>
      <c r="J112" s="10">
        <v>9999.0</v>
      </c>
      <c r="K112" s="10">
        <v>0.0</v>
      </c>
      <c r="L112" s="10" t="s">
        <v>28</v>
      </c>
      <c r="M112" s="10" t="s">
        <v>29</v>
      </c>
      <c r="N112" s="10" t="s">
        <v>114</v>
      </c>
      <c r="O112" s="10" t="s">
        <v>31</v>
      </c>
      <c r="P112" s="10" t="s">
        <v>32</v>
      </c>
      <c r="Q112" s="11">
        <v>45698.0</v>
      </c>
      <c r="R112" s="7">
        <f t="shared" si="1"/>
        <v>9999</v>
      </c>
      <c r="S112" s="8">
        <f t="shared" si="2"/>
        <v>1525.271186</v>
      </c>
      <c r="T112" s="8">
        <f t="shared" si="3"/>
        <v>9999</v>
      </c>
      <c r="U112" s="8" t="str">
        <f t="shared" si="4"/>
        <v>Q1</v>
      </c>
      <c r="V112" s="9"/>
      <c r="W112" s="9"/>
      <c r="X112" s="9"/>
      <c r="Y112" s="9"/>
    </row>
    <row r="113">
      <c r="A113" s="10" t="s">
        <v>236</v>
      </c>
      <c r="B113" s="11">
        <v>45505.0</v>
      </c>
      <c r="C113" s="10" t="s">
        <v>163</v>
      </c>
      <c r="D113" s="10" t="s">
        <v>80</v>
      </c>
      <c r="E113" s="10" t="s">
        <v>92</v>
      </c>
      <c r="F113" s="10" t="s">
        <v>44</v>
      </c>
      <c r="G113" s="10" t="s">
        <v>75</v>
      </c>
      <c r="H113" s="10" t="s">
        <v>56</v>
      </c>
      <c r="I113" s="10">
        <v>3.0</v>
      </c>
      <c r="J113" s="10">
        <v>799.0</v>
      </c>
      <c r="K113" s="10">
        <v>10.0</v>
      </c>
      <c r="L113" s="10" t="s">
        <v>28</v>
      </c>
      <c r="M113" s="10" t="s">
        <v>29</v>
      </c>
      <c r="N113" s="10" t="s">
        <v>40</v>
      </c>
      <c r="O113" s="10" t="s">
        <v>31</v>
      </c>
      <c r="P113" s="10" t="s">
        <v>47</v>
      </c>
      <c r="Q113" s="10"/>
      <c r="R113" s="7">
        <f t="shared" si="1"/>
        <v>0</v>
      </c>
      <c r="S113" s="8">
        <f t="shared" si="2"/>
        <v>0</v>
      </c>
      <c r="T113" s="8">
        <f t="shared" si="3"/>
        <v>0</v>
      </c>
      <c r="U113" s="8" t="str">
        <f t="shared" si="4"/>
        <v>Q3</v>
      </c>
      <c r="V113" s="9"/>
      <c r="W113" s="9"/>
      <c r="X113" s="9"/>
      <c r="Y113" s="9"/>
    </row>
    <row r="114">
      <c r="A114" s="10" t="s">
        <v>237</v>
      </c>
      <c r="B114" s="11">
        <v>45600.0</v>
      </c>
      <c r="C114" s="10" t="s">
        <v>96</v>
      </c>
      <c r="D114" s="10" t="s">
        <v>35</v>
      </c>
      <c r="E114" s="10" t="s">
        <v>50</v>
      </c>
      <c r="F114" s="10" t="s">
        <v>51</v>
      </c>
      <c r="G114" s="10" t="s">
        <v>66</v>
      </c>
      <c r="H114" s="10" t="s">
        <v>39</v>
      </c>
      <c r="I114" s="10">
        <v>1.0</v>
      </c>
      <c r="J114" s="10">
        <v>14999.0</v>
      </c>
      <c r="K114" s="10">
        <v>10.0</v>
      </c>
      <c r="L114" s="10" t="s">
        <v>45</v>
      </c>
      <c r="M114" s="10" t="s">
        <v>29</v>
      </c>
      <c r="N114" s="10" t="s">
        <v>57</v>
      </c>
      <c r="O114" s="10" t="s">
        <v>46</v>
      </c>
      <c r="P114" s="10" t="s">
        <v>62</v>
      </c>
      <c r="Q114" s="10"/>
      <c r="R114" s="7">
        <f t="shared" si="1"/>
        <v>0</v>
      </c>
      <c r="S114" s="8">
        <f t="shared" si="2"/>
        <v>0</v>
      </c>
      <c r="T114" s="8">
        <f t="shared" si="3"/>
        <v>0</v>
      </c>
      <c r="U114" s="8" t="str">
        <f t="shared" si="4"/>
        <v>Q4</v>
      </c>
      <c r="V114" s="9"/>
      <c r="W114" s="9"/>
      <c r="X114" s="9"/>
      <c r="Y114" s="9"/>
    </row>
    <row r="115">
      <c r="A115" s="10" t="s">
        <v>238</v>
      </c>
      <c r="B115" s="11">
        <v>45650.0</v>
      </c>
      <c r="C115" s="10" t="s">
        <v>144</v>
      </c>
      <c r="D115" s="10" t="s">
        <v>35</v>
      </c>
      <c r="E115" s="10" t="s">
        <v>36</v>
      </c>
      <c r="F115" s="10" t="s">
        <v>44</v>
      </c>
      <c r="G115" s="10" t="s">
        <v>75</v>
      </c>
      <c r="H115" s="10" t="s">
        <v>56</v>
      </c>
      <c r="I115" s="10">
        <v>1.0</v>
      </c>
      <c r="J115" s="10">
        <v>799.0</v>
      </c>
      <c r="K115" s="10">
        <v>10.0</v>
      </c>
      <c r="L115" s="10" t="s">
        <v>45</v>
      </c>
      <c r="M115" s="10" t="s">
        <v>29</v>
      </c>
      <c r="N115" s="10" t="s">
        <v>30</v>
      </c>
      <c r="O115" s="10" t="s">
        <v>31</v>
      </c>
      <c r="P115" s="10" t="s">
        <v>47</v>
      </c>
      <c r="Q115" s="10"/>
      <c r="R115" s="7">
        <f t="shared" si="1"/>
        <v>0</v>
      </c>
      <c r="S115" s="8">
        <f t="shared" si="2"/>
        <v>0</v>
      </c>
      <c r="T115" s="8">
        <f t="shared" si="3"/>
        <v>0</v>
      </c>
      <c r="U115" s="8" t="str">
        <f t="shared" si="4"/>
        <v>Q4</v>
      </c>
      <c r="V115" s="9"/>
      <c r="W115" s="9"/>
      <c r="X115" s="9"/>
      <c r="Y115" s="9"/>
    </row>
    <row r="116">
      <c r="A116" s="10" t="s">
        <v>239</v>
      </c>
      <c r="B116" s="11">
        <v>45774.0</v>
      </c>
      <c r="C116" s="10" t="s">
        <v>79</v>
      </c>
      <c r="D116" s="10" t="s">
        <v>80</v>
      </c>
      <c r="E116" s="10" t="s">
        <v>81</v>
      </c>
      <c r="F116" s="10" t="s">
        <v>54</v>
      </c>
      <c r="G116" s="10" t="s">
        <v>75</v>
      </c>
      <c r="H116" s="10" t="s">
        <v>56</v>
      </c>
      <c r="I116" s="10">
        <v>1.0</v>
      </c>
      <c r="J116" s="10">
        <v>799.0</v>
      </c>
      <c r="K116" s="10">
        <v>0.1</v>
      </c>
      <c r="L116" s="10" t="s">
        <v>45</v>
      </c>
      <c r="M116" s="10" t="s">
        <v>29</v>
      </c>
      <c r="N116" s="10" t="s">
        <v>70</v>
      </c>
      <c r="O116" s="10" t="s">
        <v>31</v>
      </c>
      <c r="P116" s="10" t="s">
        <v>32</v>
      </c>
      <c r="Q116" s="10"/>
      <c r="R116" s="7">
        <f t="shared" si="1"/>
        <v>798.201</v>
      </c>
      <c r="S116" s="8">
        <f t="shared" si="2"/>
        <v>143.67618</v>
      </c>
      <c r="T116" s="8">
        <f t="shared" si="3"/>
        <v>941.87718</v>
      </c>
      <c r="U116" s="8" t="str">
        <f t="shared" si="4"/>
        <v>Q2</v>
      </c>
      <c r="V116" s="9"/>
      <c r="W116" s="9"/>
      <c r="X116" s="9"/>
      <c r="Y116" s="9"/>
    </row>
    <row r="117">
      <c r="A117" s="10" t="s">
        <v>240</v>
      </c>
      <c r="B117" s="11">
        <v>45717.0</v>
      </c>
      <c r="C117" s="10" t="s">
        <v>153</v>
      </c>
      <c r="D117" s="10" t="s">
        <v>80</v>
      </c>
      <c r="E117" s="10" t="s">
        <v>151</v>
      </c>
      <c r="F117" s="10" t="s">
        <v>37</v>
      </c>
      <c r="G117" s="10" t="s">
        <v>75</v>
      </c>
      <c r="H117" s="10" t="s">
        <v>56</v>
      </c>
      <c r="I117" s="10">
        <v>1.0</v>
      </c>
      <c r="J117" s="10">
        <v>799.0</v>
      </c>
      <c r="K117" s="10">
        <v>10.0</v>
      </c>
      <c r="L117" s="10" t="s">
        <v>28</v>
      </c>
      <c r="M117" s="10" t="s">
        <v>29</v>
      </c>
      <c r="N117" s="10" t="s">
        <v>114</v>
      </c>
      <c r="O117" s="10" t="s">
        <v>67</v>
      </c>
      <c r="P117" s="10" t="s">
        <v>32</v>
      </c>
      <c r="Q117" s="10"/>
      <c r="R117" s="7">
        <f t="shared" si="1"/>
        <v>719.1</v>
      </c>
      <c r="S117" s="8">
        <f t="shared" si="2"/>
        <v>109.6932203</v>
      </c>
      <c r="T117" s="8">
        <f t="shared" si="3"/>
        <v>719.1</v>
      </c>
      <c r="U117" s="8" t="str">
        <f t="shared" si="4"/>
        <v>Q1</v>
      </c>
      <c r="V117" s="9"/>
      <c r="W117" s="9"/>
      <c r="X117" s="9"/>
      <c r="Y117" s="9"/>
    </row>
    <row r="118">
      <c r="A118" s="10" t="s">
        <v>241</v>
      </c>
      <c r="B118" s="11">
        <v>45677.0</v>
      </c>
      <c r="C118" s="10" t="s">
        <v>96</v>
      </c>
      <c r="D118" s="10" t="s">
        <v>23</v>
      </c>
      <c r="E118" s="10" t="s">
        <v>73</v>
      </c>
      <c r="F118" s="10" t="s">
        <v>37</v>
      </c>
      <c r="G118" s="10" t="s">
        <v>55</v>
      </c>
      <c r="H118" s="10" t="s">
        <v>56</v>
      </c>
      <c r="I118" s="10">
        <v>1.0</v>
      </c>
      <c r="J118" s="10">
        <v>1499.0</v>
      </c>
      <c r="K118" s="10">
        <v>10.0</v>
      </c>
      <c r="L118" s="10" t="s">
        <v>45</v>
      </c>
      <c r="M118" s="10" t="s">
        <v>29</v>
      </c>
      <c r="N118" s="10" t="s">
        <v>30</v>
      </c>
      <c r="O118" s="10" t="s">
        <v>46</v>
      </c>
      <c r="P118" s="10" t="s">
        <v>87</v>
      </c>
      <c r="Q118" s="10"/>
      <c r="R118" s="7">
        <f t="shared" si="1"/>
        <v>0</v>
      </c>
      <c r="S118" s="8">
        <f t="shared" si="2"/>
        <v>0</v>
      </c>
      <c r="T118" s="8">
        <f t="shared" si="3"/>
        <v>0</v>
      </c>
      <c r="U118" s="8" t="str">
        <f t="shared" si="4"/>
        <v>Q1</v>
      </c>
      <c r="V118" s="9"/>
      <c r="W118" s="9"/>
      <c r="X118" s="9"/>
      <c r="Y118" s="9"/>
    </row>
    <row r="119">
      <c r="A119" s="10" t="s">
        <v>242</v>
      </c>
      <c r="B119" s="11">
        <v>45531.0</v>
      </c>
      <c r="C119" s="10" t="s">
        <v>147</v>
      </c>
      <c r="D119" s="10" t="s">
        <v>60</v>
      </c>
      <c r="E119" s="10" t="s">
        <v>122</v>
      </c>
      <c r="F119" s="10" t="s">
        <v>44</v>
      </c>
      <c r="G119" s="10" t="s">
        <v>26</v>
      </c>
      <c r="H119" s="10" t="s">
        <v>27</v>
      </c>
      <c r="I119" s="10">
        <v>1.0</v>
      </c>
      <c r="J119" s="10">
        <v>9999.0</v>
      </c>
      <c r="K119" s="10">
        <v>10.0</v>
      </c>
      <c r="L119" s="10" t="s">
        <v>28</v>
      </c>
      <c r="M119" s="10" t="s">
        <v>29</v>
      </c>
      <c r="N119" s="10" t="s">
        <v>30</v>
      </c>
      <c r="O119" s="10" t="s">
        <v>67</v>
      </c>
      <c r="P119" s="10" t="s">
        <v>77</v>
      </c>
      <c r="Q119" s="10"/>
      <c r="R119" s="7">
        <f t="shared" si="1"/>
        <v>0</v>
      </c>
      <c r="S119" s="8">
        <f t="shared" si="2"/>
        <v>0</v>
      </c>
      <c r="T119" s="8">
        <f t="shared" si="3"/>
        <v>0</v>
      </c>
      <c r="U119" s="8" t="str">
        <f t="shared" si="4"/>
        <v>Q3</v>
      </c>
      <c r="V119" s="9"/>
      <c r="W119" s="9"/>
      <c r="X119" s="9"/>
      <c r="Y119" s="9"/>
    </row>
    <row r="120">
      <c r="A120" s="10" t="s">
        <v>243</v>
      </c>
      <c r="B120" s="11">
        <v>45568.0</v>
      </c>
      <c r="C120" s="10" t="s">
        <v>141</v>
      </c>
      <c r="D120" s="10" t="s">
        <v>60</v>
      </c>
      <c r="E120" s="10" t="s">
        <v>122</v>
      </c>
      <c r="F120" s="10" t="s">
        <v>54</v>
      </c>
      <c r="G120" s="10" t="s">
        <v>75</v>
      </c>
      <c r="H120" s="10" t="s">
        <v>56</v>
      </c>
      <c r="I120" s="10">
        <v>2.0</v>
      </c>
      <c r="J120" s="10">
        <v>799.0</v>
      </c>
      <c r="K120" s="10">
        <v>5.0</v>
      </c>
      <c r="L120" s="10" t="s">
        <v>28</v>
      </c>
      <c r="M120" s="10" t="s">
        <v>29</v>
      </c>
      <c r="N120" s="10" t="s">
        <v>40</v>
      </c>
      <c r="O120" s="10" t="s">
        <v>46</v>
      </c>
      <c r="P120" s="10" t="s">
        <v>32</v>
      </c>
      <c r="Q120" s="10"/>
      <c r="R120" s="7">
        <f t="shared" si="1"/>
        <v>1518.1</v>
      </c>
      <c r="S120" s="8">
        <f t="shared" si="2"/>
        <v>231.5745763</v>
      </c>
      <c r="T120" s="8">
        <f t="shared" si="3"/>
        <v>1518.1</v>
      </c>
      <c r="U120" s="8" t="str">
        <f t="shared" si="4"/>
        <v>Q4</v>
      </c>
      <c r="V120" s="9"/>
      <c r="W120" s="9"/>
      <c r="X120" s="9"/>
      <c r="Y120" s="9"/>
    </row>
    <row r="121">
      <c r="A121" s="10" t="s">
        <v>244</v>
      </c>
      <c r="B121" s="11">
        <v>45631.0</v>
      </c>
      <c r="C121" s="10" t="s">
        <v>101</v>
      </c>
      <c r="D121" s="10" t="s">
        <v>35</v>
      </c>
      <c r="E121" s="10" t="s">
        <v>50</v>
      </c>
      <c r="F121" s="10" t="s">
        <v>25</v>
      </c>
      <c r="G121" s="10" t="s">
        <v>66</v>
      </c>
      <c r="H121" s="10" t="s">
        <v>39</v>
      </c>
      <c r="I121" s="10">
        <v>5.0</v>
      </c>
      <c r="J121" s="10">
        <v>14999.0</v>
      </c>
      <c r="K121" s="10">
        <v>10.0</v>
      </c>
      <c r="L121" s="10" t="s">
        <v>28</v>
      </c>
      <c r="M121" s="10" t="s">
        <v>29</v>
      </c>
      <c r="N121" s="10" t="s">
        <v>57</v>
      </c>
      <c r="O121" s="10" t="s">
        <v>67</v>
      </c>
      <c r="P121" s="10" t="s">
        <v>77</v>
      </c>
      <c r="Q121" s="10"/>
      <c r="R121" s="7">
        <f t="shared" si="1"/>
        <v>0</v>
      </c>
      <c r="S121" s="8">
        <f t="shared" si="2"/>
        <v>0</v>
      </c>
      <c r="T121" s="8">
        <f t="shared" si="3"/>
        <v>0</v>
      </c>
      <c r="U121" s="8" t="str">
        <f t="shared" si="4"/>
        <v>Q4</v>
      </c>
      <c r="V121" s="9"/>
      <c r="W121" s="9"/>
      <c r="X121" s="9"/>
      <c r="Y121" s="9"/>
    </row>
    <row r="122">
      <c r="A122" s="10" t="s">
        <v>245</v>
      </c>
      <c r="B122" s="11">
        <v>45686.0</v>
      </c>
      <c r="C122" s="10" t="s">
        <v>53</v>
      </c>
      <c r="D122" s="10" t="s">
        <v>80</v>
      </c>
      <c r="E122" s="10" t="s">
        <v>92</v>
      </c>
      <c r="F122" s="10" t="s">
        <v>86</v>
      </c>
      <c r="G122" s="10" t="s">
        <v>26</v>
      </c>
      <c r="H122" s="10" t="s">
        <v>27</v>
      </c>
      <c r="I122" s="10">
        <v>1.0</v>
      </c>
      <c r="J122" s="10">
        <v>9999.0</v>
      </c>
      <c r="K122" s="10">
        <v>0.1</v>
      </c>
      <c r="L122" s="10" t="s">
        <v>45</v>
      </c>
      <c r="M122" s="10" t="s">
        <v>29</v>
      </c>
      <c r="N122" s="10" t="s">
        <v>30</v>
      </c>
      <c r="O122" s="10" t="s">
        <v>41</v>
      </c>
      <c r="P122" s="10" t="s">
        <v>87</v>
      </c>
      <c r="Q122" s="10"/>
      <c r="R122" s="7">
        <f t="shared" si="1"/>
        <v>0</v>
      </c>
      <c r="S122" s="8">
        <f t="shared" si="2"/>
        <v>0</v>
      </c>
      <c r="T122" s="8">
        <f t="shared" si="3"/>
        <v>0</v>
      </c>
      <c r="U122" s="8" t="str">
        <f t="shared" si="4"/>
        <v>Q1</v>
      </c>
      <c r="V122" s="9"/>
      <c r="W122" s="9"/>
      <c r="X122" s="9"/>
      <c r="Y122" s="9"/>
    </row>
    <row r="123">
      <c r="A123" s="10" t="s">
        <v>246</v>
      </c>
      <c r="B123" s="11">
        <v>45732.0</v>
      </c>
      <c r="C123" s="10" t="s">
        <v>64</v>
      </c>
      <c r="D123" s="10" t="s">
        <v>60</v>
      </c>
      <c r="E123" s="10" t="s">
        <v>61</v>
      </c>
      <c r="F123" s="10" t="s">
        <v>181</v>
      </c>
      <c r="G123" s="10" t="s">
        <v>93</v>
      </c>
      <c r="H123" s="10" t="s">
        <v>27</v>
      </c>
      <c r="I123" s="10">
        <v>1.0</v>
      </c>
      <c r="J123" s="10">
        <v>2999.0</v>
      </c>
      <c r="K123" s="10">
        <v>0.0</v>
      </c>
      <c r="L123" s="10" t="s">
        <v>28</v>
      </c>
      <c r="M123" s="10" t="s">
        <v>29</v>
      </c>
      <c r="N123" s="10" t="s">
        <v>57</v>
      </c>
      <c r="O123" s="10" t="s">
        <v>31</v>
      </c>
      <c r="P123" s="10" t="s">
        <v>32</v>
      </c>
      <c r="Q123" s="11">
        <v>45762.0</v>
      </c>
      <c r="R123" s="7">
        <f t="shared" si="1"/>
        <v>2999</v>
      </c>
      <c r="S123" s="8">
        <f t="shared" si="2"/>
        <v>457.4745763</v>
      </c>
      <c r="T123" s="8">
        <f t="shared" si="3"/>
        <v>2999</v>
      </c>
      <c r="U123" s="8" t="str">
        <f t="shared" si="4"/>
        <v>Q1</v>
      </c>
      <c r="V123" s="9"/>
      <c r="W123" s="9"/>
      <c r="X123" s="9"/>
      <c r="Y123" s="9"/>
    </row>
    <row r="124">
      <c r="A124" s="10" t="s">
        <v>247</v>
      </c>
      <c r="B124" s="11">
        <v>45503.0</v>
      </c>
      <c r="C124" s="10" t="s">
        <v>69</v>
      </c>
      <c r="D124" s="10" t="s">
        <v>60</v>
      </c>
      <c r="E124" s="10" t="s">
        <v>102</v>
      </c>
      <c r="F124" s="10" t="s">
        <v>37</v>
      </c>
      <c r="G124" s="10" t="s">
        <v>55</v>
      </c>
      <c r="H124" s="10" t="s">
        <v>56</v>
      </c>
      <c r="I124" s="10">
        <v>5.0</v>
      </c>
      <c r="J124" s="10">
        <v>1499.0</v>
      </c>
      <c r="K124" s="10">
        <v>0.0</v>
      </c>
      <c r="L124" s="10" t="s">
        <v>45</v>
      </c>
      <c r="M124" s="10" t="s">
        <v>29</v>
      </c>
      <c r="N124" s="10" t="s">
        <v>30</v>
      </c>
      <c r="O124" s="10" t="s">
        <v>31</v>
      </c>
      <c r="P124" s="10" t="s">
        <v>32</v>
      </c>
      <c r="Q124" s="10"/>
      <c r="R124" s="7">
        <f t="shared" si="1"/>
        <v>7495</v>
      </c>
      <c r="S124" s="8">
        <f t="shared" si="2"/>
        <v>1349.1</v>
      </c>
      <c r="T124" s="8">
        <f t="shared" si="3"/>
        <v>8844.1</v>
      </c>
      <c r="U124" s="8" t="str">
        <f t="shared" si="4"/>
        <v>Q3</v>
      </c>
      <c r="V124" s="9"/>
      <c r="W124" s="9"/>
      <c r="X124" s="9"/>
      <c r="Y124" s="9"/>
    </row>
    <row r="125">
      <c r="A125" s="10" t="s">
        <v>248</v>
      </c>
      <c r="B125" s="11">
        <v>45543.0</v>
      </c>
      <c r="C125" s="10" t="s">
        <v>172</v>
      </c>
      <c r="D125" s="10" t="s">
        <v>23</v>
      </c>
      <c r="E125" s="10" t="s">
        <v>83</v>
      </c>
      <c r="F125" s="10" t="s">
        <v>201</v>
      </c>
      <c r="G125" s="10" t="s">
        <v>93</v>
      </c>
      <c r="H125" s="10" t="s">
        <v>27</v>
      </c>
      <c r="I125" s="10">
        <v>1.0</v>
      </c>
      <c r="J125" s="10">
        <v>2999.0</v>
      </c>
      <c r="K125" s="10">
        <v>15.0</v>
      </c>
      <c r="L125" s="10" t="s">
        <v>45</v>
      </c>
      <c r="M125" s="10" t="s">
        <v>29</v>
      </c>
      <c r="N125" s="10" t="s">
        <v>40</v>
      </c>
      <c r="O125" s="10" t="s">
        <v>67</v>
      </c>
      <c r="P125" s="10" t="s">
        <v>32</v>
      </c>
      <c r="Q125" s="11">
        <v>45908.0</v>
      </c>
      <c r="R125" s="7">
        <f t="shared" si="1"/>
        <v>2549.15</v>
      </c>
      <c r="S125" s="8">
        <f t="shared" si="2"/>
        <v>458.847</v>
      </c>
      <c r="T125" s="8">
        <f t="shared" si="3"/>
        <v>3007.997</v>
      </c>
      <c r="U125" s="8" t="str">
        <f t="shared" si="4"/>
        <v>Q3</v>
      </c>
      <c r="V125" s="9"/>
      <c r="W125" s="9"/>
      <c r="X125" s="9"/>
      <c r="Y125" s="9"/>
    </row>
    <row r="126">
      <c r="A126" s="10" t="s">
        <v>249</v>
      </c>
      <c r="B126" s="11">
        <v>45588.0</v>
      </c>
      <c r="C126" s="10" t="s">
        <v>172</v>
      </c>
      <c r="D126" s="10" t="s">
        <v>23</v>
      </c>
      <c r="E126" s="10" t="s">
        <v>73</v>
      </c>
      <c r="F126" s="10" t="s">
        <v>86</v>
      </c>
      <c r="G126" s="10" t="s">
        <v>75</v>
      </c>
      <c r="H126" s="10" t="s">
        <v>56</v>
      </c>
      <c r="I126" s="10">
        <v>1.0</v>
      </c>
      <c r="J126" s="10">
        <v>799.0</v>
      </c>
      <c r="K126" s="10">
        <v>20.0</v>
      </c>
      <c r="L126" s="10" t="s">
        <v>45</v>
      </c>
      <c r="M126" s="10" t="s">
        <v>29</v>
      </c>
      <c r="N126" s="10" t="s">
        <v>57</v>
      </c>
      <c r="O126" s="10" t="s">
        <v>67</v>
      </c>
      <c r="P126" s="10" t="s">
        <v>77</v>
      </c>
      <c r="Q126" s="10"/>
      <c r="R126" s="7">
        <f t="shared" si="1"/>
        <v>0</v>
      </c>
      <c r="S126" s="8">
        <f t="shared" si="2"/>
        <v>0</v>
      </c>
      <c r="T126" s="8">
        <f t="shared" si="3"/>
        <v>0</v>
      </c>
      <c r="U126" s="8" t="str">
        <f t="shared" si="4"/>
        <v>Q4</v>
      </c>
      <c r="V126" s="9"/>
      <c r="W126" s="9"/>
      <c r="X126" s="9"/>
      <c r="Y126" s="9"/>
    </row>
    <row r="127">
      <c r="A127" s="10" t="s">
        <v>250</v>
      </c>
      <c r="B127" s="10" t="s">
        <v>251</v>
      </c>
      <c r="C127" s="10" t="s">
        <v>125</v>
      </c>
      <c r="D127" s="10" t="s">
        <v>35</v>
      </c>
      <c r="E127" s="10" t="s">
        <v>128</v>
      </c>
      <c r="F127" s="10" t="s">
        <v>37</v>
      </c>
      <c r="G127" s="10" t="s">
        <v>106</v>
      </c>
      <c r="H127" s="10" t="s">
        <v>27</v>
      </c>
      <c r="I127" s="10">
        <v>1.0</v>
      </c>
      <c r="J127" s="10">
        <v>999.0</v>
      </c>
      <c r="K127" s="10">
        <v>0.15</v>
      </c>
      <c r="L127" s="10" t="s">
        <v>28</v>
      </c>
      <c r="M127" s="10" t="s">
        <v>29</v>
      </c>
      <c r="N127" s="10" t="s">
        <v>30</v>
      </c>
      <c r="O127" s="10" t="s">
        <v>41</v>
      </c>
      <c r="P127" s="10" t="s">
        <v>62</v>
      </c>
      <c r="Q127" s="10"/>
      <c r="R127" s="7">
        <f t="shared" si="1"/>
        <v>0</v>
      </c>
      <c r="S127" s="8">
        <f t="shared" si="2"/>
        <v>0</v>
      </c>
      <c r="T127" s="8">
        <f t="shared" si="3"/>
        <v>0</v>
      </c>
      <c r="U127" s="8" t="str">
        <f t="shared" si="4"/>
        <v>Q3</v>
      </c>
      <c r="V127" s="9"/>
      <c r="W127" s="9"/>
      <c r="X127" s="9"/>
      <c r="Y127" s="9"/>
    </row>
    <row r="128">
      <c r="A128" s="10" t="s">
        <v>252</v>
      </c>
      <c r="B128" s="11">
        <v>45585.0</v>
      </c>
      <c r="C128" s="10" t="s">
        <v>34</v>
      </c>
      <c r="D128" s="10" t="s">
        <v>23</v>
      </c>
      <c r="E128" s="10" t="s">
        <v>73</v>
      </c>
      <c r="F128" s="10" t="s">
        <v>65</v>
      </c>
      <c r="G128" s="10" t="s">
        <v>66</v>
      </c>
      <c r="H128" s="10" t="s">
        <v>39</v>
      </c>
      <c r="I128" s="10">
        <v>1.0</v>
      </c>
      <c r="J128" s="10">
        <v>14999.0</v>
      </c>
      <c r="K128" s="10">
        <v>10.0</v>
      </c>
      <c r="L128" s="10" t="s">
        <v>45</v>
      </c>
      <c r="M128" s="10" t="s">
        <v>29</v>
      </c>
      <c r="N128" s="10" t="s">
        <v>57</v>
      </c>
      <c r="O128" s="10" t="s">
        <v>46</v>
      </c>
      <c r="P128" s="10" t="s">
        <v>32</v>
      </c>
      <c r="Q128" s="10"/>
      <c r="R128" s="7">
        <f t="shared" si="1"/>
        <v>13499.1</v>
      </c>
      <c r="S128" s="8">
        <f t="shared" si="2"/>
        <v>2429.838</v>
      </c>
      <c r="T128" s="8">
        <f t="shared" si="3"/>
        <v>15928.938</v>
      </c>
      <c r="U128" s="8" t="str">
        <f t="shared" si="4"/>
        <v>Q4</v>
      </c>
      <c r="V128" s="9"/>
      <c r="W128" s="9"/>
      <c r="X128" s="9"/>
      <c r="Y128" s="9"/>
    </row>
    <row r="129">
      <c r="A129" s="10" t="s">
        <v>253</v>
      </c>
      <c r="B129" s="11">
        <v>45505.0</v>
      </c>
      <c r="C129" s="10" t="s">
        <v>72</v>
      </c>
      <c r="D129" s="10" t="s">
        <v>35</v>
      </c>
      <c r="E129" s="10" t="s">
        <v>128</v>
      </c>
      <c r="F129" s="10" t="s">
        <v>103</v>
      </c>
      <c r="G129" s="10" t="s">
        <v>66</v>
      </c>
      <c r="H129" s="10" t="s">
        <v>39</v>
      </c>
      <c r="I129" s="10">
        <v>3.0</v>
      </c>
      <c r="J129" s="10">
        <v>14999.0</v>
      </c>
      <c r="K129" s="10">
        <v>0.0</v>
      </c>
      <c r="L129" s="10" t="s">
        <v>28</v>
      </c>
      <c r="M129" s="10" t="s">
        <v>29</v>
      </c>
      <c r="N129" s="10" t="s">
        <v>40</v>
      </c>
      <c r="O129" s="10" t="s">
        <v>31</v>
      </c>
      <c r="P129" s="10" t="s">
        <v>77</v>
      </c>
      <c r="Q129" s="10"/>
      <c r="R129" s="7">
        <f t="shared" si="1"/>
        <v>0</v>
      </c>
      <c r="S129" s="8">
        <f t="shared" si="2"/>
        <v>0</v>
      </c>
      <c r="T129" s="8">
        <f t="shared" si="3"/>
        <v>0</v>
      </c>
      <c r="U129" s="8" t="str">
        <f t="shared" si="4"/>
        <v>Q3</v>
      </c>
      <c r="V129" s="9"/>
      <c r="W129" s="9"/>
      <c r="X129" s="9"/>
      <c r="Y129" s="9"/>
    </row>
    <row r="130">
      <c r="A130" s="10" t="s">
        <v>254</v>
      </c>
      <c r="B130" s="11">
        <v>45749.0</v>
      </c>
      <c r="C130" s="10" t="s">
        <v>64</v>
      </c>
      <c r="D130" s="10" t="s">
        <v>35</v>
      </c>
      <c r="E130" s="10" t="s">
        <v>85</v>
      </c>
      <c r="F130" s="10" t="s">
        <v>37</v>
      </c>
      <c r="G130" s="10" t="s">
        <v>55</v>
      </c>
      <c r="H130" s="10" t="s">
        <v>56</v>
      </c>
      <c r="I130" s="10">
        <v>1.0</v>
      </c>
      <c r="J130" s="10">
        <v>1499.0</v>
      </c>
      <c r="K130" s="10">
        <v>0.0</v>
      </c>
      <c r="L130" s="10" t="s">
        <v>45</v>
      </c>
      <c r="M130" s="10" t="s">
        <v>29</v>
      </c>
      <c r="N130" s="10" t="s">
        <v>30</v>
      </c>
      <c r="O130" s="10" t="s">
        <v>67</v>
      </c>
      <c r="P130" s="10" t="s">
        <v>87</v>
      </c>
      <c r="Q130" s="10"/>
      <c r="R130" s="7">
        <f t="shared" si="1"/>
        <v>0</v>
      </c>
      <c r="S130" s="8">
        <f t="shared" si="2"/>
        <v>0</v>
      </c>
      <c r="T130" s="8">
        <f t="shared" si="3"/>
        <v>0</v>
      </c>
      <c r="U130" s="8" t="str">
        <f t="shared" si="4"/>
        <v>Q2</v>
      </c>
      <c r="V130" s="9"/>
      <c r="W130" s="9"/>
      <c r="X130" s="9"/>
      <c r="Y130" s="9"/>
    </row>
    <row r="131">
      <c r="A131" s="10" t="s">
        <v>255</v>
      </c>
      <c r="B131" s="11">
        <v>45663.0</v>
      </c>
      <c r="C131" s="10" t="s">
        <v>43</v>
      </c>
      <c r="D131" s="10" t="s">
        <v>80</v>
      </c>
      <c r="E131" s="10" t="s">
        <v>81</v>
      </c>
      <c r="F131" s="10" t="s">
        <v>51</v>
      </c>
      <c r="G131" s="10" t="s">
        <v>26</v>
      </c>
      <c r="H131" s="10" t="s">
        <v>27</v>
      </c>
      <c r="I131" s="10">
        <v>1.0</v>
      </c>
      <c r="J131" s="10">
        <v>9999.0</v>
      </c>
      <c r="K131" s="10">
        <v>5.0</v>
      </c>
      <c r="L131" s="10" t="s">
        <v>45</v>
      </c>
      <c r="M131" s="10" t="s">
        <v>166</v>
      </c>
      <c r="N131" s="10" t="s">
        <v>40</v>
      </c>
      <c r="O131" s="10" t="s">
        <v>41</v>
      </c>
      <c r="P131" s="10" t="s">
        <v>32</v>
      </c>
      <c r="Q131" s="11">
        <v>45693.0</v>
      </c>
      <c r="R131" s="7">
        <f t="shared" si="1"/>
        <v>9499.05</v>
      </c>
      <c r="S131" s="8">
        <f t="shared" si="2"/>
        <v>1709.829</v>
      </c>
      <c r="T131" s="8">
        <f t="shared" si="3"/>
        <v>11208.879</v>
      </c>
      <c r="U131" s="8" t="str">
        <f t="shared" si="4"/>
        <v>Q1</v>
      </c>
      <c r="V131" s="9"/>
      <c r="W131" s="9"/>
      <c r="X131" s="9"/>
      <c r="Y131" s="9"/>
    </row>
    <row r="132">
      <c r="A132" s="10" t="s">
        <v>256</v>
      </c>
      <c r="B132" s="11">
        <v>45582.0</v>
      </c>
      <c r="C132" s="10" t="s">
        <v>79</v>
      </c>
      <c r="D132" s="10" t="s">
        <v>60</v>
      </c>
      <c r="E132" s="10" t="s">
        <v>110</v>
      </c>
      <c r="F132" s="10" t="s">
        <v>51</v>
      </c>
      <c r="G132" s="10" t="s">
        <v>38</v>
      </c>
      <c r="H132" s="10" t="s">
        <v>39</v>
      </c>
      <c r="I132" s="10">
        <v>5.0</v>
      </c>
      <c r="J132" s="10">
        <v>4999.0</v>
      </c>
      <c r="K132" s="10">
        <v>20.0</v>
      </c>
      <c r="L132" s="10" t="s">
        <v>28</v>
      </c>
      <c r="M132" s="10" t="s">
        <v>29</v>
      </c>
      <c r="N132" s="10" t="s">
        <v>57</v>
      </c>
      <c r="O132" s="10" t="s">
        <v>67</v>
      </c>
      <c r="P132" s="10" t="s">
        <v>47</v>
      </c>
      <c r="Q132" s="10"/>
      <c r="R132" s="7">
        <f t="shared" si="1"/>
        <v>0</v>
      </c>
      <c r="S132" s="8">
        <f t="shared" si="2"/>
        <v>0</v>
      </c>
      <c r="T132" s="8">
        <f t="shared" si="3"/>
        <v>0</v>
      </c>
      <c r="U132" s="8" t="str">
        <f t="shared" si="4"/>
        <v>Q4</v>
      </c>
      <c r="V132" s="9"/>
      <c r="W132" s="9"/>
      <c r="X132" s="9"/>
      <c r="Y132" s="9"/>
    </row>
    <row r="133">
      <c r="A133" s="10" t="s">
        <v>257</v>
      </c>
      <c r="B133" s="11">
        <v>45658.0</v>
      </c>
      <c r="C133" s="10" t="s">
        <v>183</v>
      </c>
      <c r="D133" s="10" t="s">
        <v>35</v>
      </c>
      <c r="E133" s="10" t="s">
        <v>85</v>
      </c>
      <c r="F133" s="10" t="s">
        <v>44</v>
      </c>
      <c r="G133" s="10" t="s">
        <v>55</v>
      </c>
      <c r="H133" s="10" t="s">
        <v>56</v>
      </c>
      <c r="I133" s="10">
        <v>2.0</v>
      </c>
      <c r="J133" s="10">
        <v>1499.0</v>
      </c>
      <c r="K133" s="10">
        <v>20.0</v>
      </c>
      <c r="L133" s="10" t="s">
        <v>28</v>
      </c>
      <c r="M133" s="10" t="s">
        <v>29</v>
      </c>
      <c r="N133" s="10" t="s">
        <v>40</v>
      </c>
      <c r="O133" s="10" t="s">
        <v>41</v>
      </c>
      <c r="P133" s="10" t="s">
        <v>62</v>
      </c>
      <c r="Q133" s="10"/>
      <c r="R133" s="7">
        <f t="shared" si="1"/>
        <v>0</v>
      </c>
      <c r="S133" s="8">
        <f t="shared" si="2"/>
        <v>0</v>
      </c>
      <c r="T133" s="8">
        <f t="shared" si="3"/>
        <v>0</v>
      </c>
      <c r="U133" s="8" t="str">
        <f t="shared" si="4"/>
        <v>Q1</v>
      </c>
      <c r="V133" s="9"/>
      <c r="W133" s="9"/>
      <c r="X133" s="9"/>
      <c r="Y133" s="9"/>
    </row>
    <row r="134">
      <c r="A134" s="10" t="s">
        <v>258</v>
      </c>
      <c r="B134" s="11">
        <v>45687.0</v>
      </c>
      <c r="C134" s="10" t="s">
        <v>53</v>
      </c>
      <c r="D134" s="10" t="s">
        <v>80</v>
      </c>
      <c r="E134" s="10" t="s">
        <v>151</v>
      </c>
      <c r="F134" s="10" t="s">
        <v>44</v>
      </c>
      <c r="G134" s="10" t="s">
        <v>106</v>
      </c>
      <c r="H134" s="10" t="s">
        <v>27</v>
      </c>
      <c r="I134" s="10">
        <v>1.0</v>
      </c>
      <c r="J134" s="10">
        <v>999.0</v>
      </c>
      <c r="K134" s="10">
        <v>5.0</v>
      </c>
      <c r="L134" s="10" t="s">
        <v>28</v>
      </c>
      <c r="M134" s="10" t="s">
        <v>29</v>
      </c>
      <c r="N134" s="10" t="s">
        <v>30</v>
      </c>
      <c r="O134" s="10" t="s">
        <v>31</v>
      </c>
      <c r="P134" s="10" t="s">
        <v>32</v>
      </c>
      <c r="Q134" s="11">
        <v>46052.0</v>
      </c>
      <c r="R134" s="7">
        <f t="shared" si="1"/>
        <v>949.05</v>
      </c>
      <c r="S134" s="8">
        <f t="shared" si="2"/>
        <v>144.770339</v>
      </c>
      <c r="T134" s="8">
        <f t="shared" si="3"/>
        <v>949.05</v>
      </c>
      <c r="U134" s="8" t="str">
        <f t="shared" si="4"/>
        <v>Q1</v>
      </c>
      <c r="V134" s="9"/>
      <c r="W134" s="9"/>
      <c r="X134" s="9"/>
      <c r="Y134" s="9"/>
    </row>
    <row r="135">
      <c r="A135" s="10" t="s">
        <v>259</v>
      </c>
      <c r="B135" s="11">
        <v>45724.0</v>
      </c>
      <c r="C135" s="10" t="s">
        <v>161</v>
      </c>
      <c r="D135" s="10" t="s">
        <v>60</v>
      </c>
      <c r="E135" s="10" t="s">
        <v>110</v>
      </c>
      <c r="F135" s="10" t="s">
        <v>148</v>
      </c>
      <c r="G135" s="10" t="s">
        <v>66</v>
      </c>
      <c r="H135" s="10" t="s">
        <v>39</v>
      </c>
      <c r="I135" s="10">
        <v>3.0</v>
      </c>
      <c r="J135" s="10">
        <v>14999.0</v>
      </c>
      <c r="K135" s="10">
        <v>0.0</v>
      </c>
      <c r="L135" s="10" t="s">
        <v>28</v>
      </c>
      <c r="M135" s="10" t="s">
        <v>29</v>
      </c>
      <c r="N135" s="10" t="s">
        <v>30</v>
      </c>
      <c r="O135" s="10" t="s">
        <v>31</v>
      </c>
      <c r="P135" s="10" t="s">
        <v>32</v>
      </c>
      <c r="Q135" s="10"/>
      <c r="R135" s="7">
        <f t="shared" si="1"/>
        <v>44997</v>
      </c>
      <c r="S135" s="8">
        <f t="shared" si="2"/>
        <v>6863.949153</v>
      </c>
      <c r="T135" s="8">
        <f t="shared" si="3"/>
        <v>44997</v>
      </c>
      <c r="U135" s="8" t="str">
        <f t="shared" si="4"/>
        <v>Q1</v>
      </c>
      <c r="V135" s="9"/>
      <c r="W135" s="9"/>
      <c r="X135" s="9"/>
      <c r="Y135" s="9"/>
    </row>
    <row r="136">
      <c r="A136" s="10" t="s">
        <v>260</v>
      </c>
      <c r="B136" s="11">
        <v>45665.0</v>
      </c>
      <c r="C136" s="10" t="s">
        <v>206</v>
      </c>
      <c r="D136" s="10" t="s">
        <v>80</v>
      </c>
      <c r="E136" s="10" t="s">
        <v>151</v>
      </c>
      <c r="F136" s="10" t="s">
        <v>25</v>
      </c>
      <c r="G136" s="10" t="s">
        <v>66</v>
      </c>
      <c r="H136" s="10" t="s">
        <v>39</v>
      </c>
      <c r="I136" s="10">
        <v>5.0</v>
      </c>
      <c r="J136" s="10">
        <v>14999.0</v>
      </c>
      <c r="K136" s="10">
        <v>0.15</v>
      </c>
      <c r="L136" s="10" t="s">
        <v>28</v>
      </c>
      <c r="M136" s="10" t="s">
        <v>29</v>
      </c>
      <c r="N136" s="10" t="s">
        <v>57</v>
      </c>
      <c r="O136" s="10" t="s">
        <v>31</v>
      </c>
      <c r="P136" s="10" t="s">
        <v>47</v>
      </c>
      <c r="Q136" s="10"/>
      <c r="R136" s="7">
        <f t="shared" si="1"/>
        <v>0</v>
      </c>
      <c r="S136" s="8">
        <f t="shared" si="2"/>
        <v>0</v>
      </c>
      <c r="T136" s="8">
        <f t="shared" si="3"/>
        <v>0</v>
      </c>
      <c r="U136" s="8" t="str">
        <f t="shared" si="4"/>
        <v>Q1</v>
      </c>
      <c r="V136" s="9"/>
      <c r="W136" s="9"/>
      <c r="X136" s="9"/>
      <c r="Y136" s="9"/>
    </row>
    <row r="137">
      <c r="A137" s="10" t="s">
        <v>261</v>
      </c>
      <c r="B137" s="11">
        <v>45819.0</v>
      </c>
      <c r="C137" s="10" t="s">
        <v>101</v>
      </c>
      <c r="D137" s="10" t="s">
        <v>23</v>
      </c>
      <c r="E137" s="10" t="s">
        <v>24</v>
      </c>
      <c r="F137" s="10" t="s">
        <v>54</v>
      </c>
      <c r="G137" s="10" t="s">
        <v>75</v>
      </c>
      <c r="H137" s="10" t="s">
        <v>56</v>
      </c>
      <c r="I137" s="10">
        <v>1.0</v>
      </c>
      <c r="J137" s="10">
        <v>799.0</v>
      </c>
      <c r="K137" s="10">
        <v>0.0</v>
      </c>
      <c r="L137" s="10" t="s">
        <v>45</v>
      </c>
      <c r="M137" s="10" t="s">
        <v>29</v>
      </c>
      <c r="N137" s="10" t="s">
        <v>89</v>
      </c>
      <c r="O137" s="10" t="s">
        <v>46</v>
      </c>
      <c r="P137" s="10" t="s">
        <v>32</v>
      </c>
      <c r="Q137" s="10"/>
      <c r="R137" s="7">
        <f t="shared" si="1"/>
        <v>799</v>
      </c>
      <c r="S137" s="8">
        <f t="shared" si="2"/>
        <v>143.82</v>
      </c>
      <c r="T137" s="8">
        <f t="shared" si="3"/>
        <v>942.82</v>
      </c>
      <c r="U137" s="8" t="str">
        <f t="shared" si="4"/>
        <v>Q2</v>
      </c>
      <c r="V137" s="9"/>
      <c r="W137" s="9"/>
      <c r="X137" s="9"/>
      <c r="Y137" s="9"/>
    </row>
    <row r="138">
      <c r="A138" s="10" t="s">
        <v>262</v>
      </c>
      <c r="B138" s="11">
        <v>45830.0</v>
      </c>
      <c r="C138" s="10" t="s">
        <v>144</v>
      </c>
      <c r="D138" s="10" t="s">
        <v>60</v>
      </c>
      <c r="E138" s="10" t="s">
        <v>102</v>
      </c>
      <c r="F138" s="10" t="s">
        <v>86</v>
      </c>
      <c r="G138" s="10" t="s">
        <v>106</v>
      </c>
      <c r="H138" s="10" t="s">
        <v>27</v>
      </c>
      <c r="I138" s="10">
        <v>1.0</v>
      </c>
      <c r="J138" s="10">
        <v>999.0</v>
      </c>
      <c r="K138" s="10">
        <v>0.0</v>
      </c>
      <c r="L138" s="10" t="s">
        <v>28</v>
      </c>
      <c r="M138" s="10" t="s">
        <v>29</v>
      </c>
      <c r="N138" s="10" t="s">
        <v>57</v>
      </c>
      <c r="O138" s="10" t="s">
        <v>31</v>
      </c>
      <c r="P138" s="10" t="s">
        <v>77</v>
      </c>
      <c r="Q138" s="10"/>
      <c r="R138" s="7">
        <f t="shared" si="1"/>
        <v>0</v>
      </c>
      <c r="S138" s="8">
        <f t="shared" si="2"/>
        <v>0</v>
      </c>
      <c r="T138" s="8">
        <f t="shared" si="3"/>
        <v>0</v>
      </c>
      <c r="U138" s="8" t="str">
        <f t="shared" si="4"/>
        <v>Q2</v>
      </c>
      <c r="V138" s="9"/>
      <c r="W138" s="9"/>
      <c r="X138" s="9"/>
      <c r="Y138" s="9"/>
    </row>
    <row r="139">
      <c r="A139" s="10" t="s">
        <v>263</v>
      </c>
      <c r="B139" s="11">
        <v>45804.0</v>
      </c>
      <c r="C139" s="10" t="s">
        <v>131</v>
      </c>
      <c r="D139" s="10" t="s">
        <v>23</v>
      </c>
      <c r="E139" s="10" t="s">
        <v>83</v>
      </c>
      <c r="F139" s="10" t="s">
        <v>25</v>
      </c>
      <c r="G139" s="10" t="s">
        <v>66</v>
      </c>
      <c r="H139" s="10" t="s">
        <v>39</v>
      </c>
      <c r="I139" s="10">
        <v>3.0</v>
      </c>
      <c r="J139" s="10">
        <v>14999.0</v>
      </c>
      <c r="K139" s="10">
        <v>0.0</v>
      </c>
      <c r="L139" s="10" t="s">
        <v>45</v>
      </c>
      <c r="M139" s="10" t="s">
        <v>29</v>
      </c>
      <c r="N139" s="10" t="s">
        <v>30</v>
      </c>
      <c r="O139" s="10" t="s">
        <v>41</v>
      </c>
      <c r="P139" s="10" t="s">
        <v>87</v>
      </c>
      <c r="Q139" s="10"/>
      <c r="R139" s="7">
        <f t="shared" si="1"/>
        <v>0</v>
      </c>
      <c r="S139" s="8">
        <f t="shared" si="2"/>
        <v>0</v>
      </c>
      <c r="T139" s="8">
        <f t="shared" si="3"/>
        <v>0</v>
      </c>
      <c r="U139" s="8" t="str">
        <f t="shared" si="4"/>
        <v>Q2</v>
      </c>
      <c r="V139" s="9"/>
      <c r="W139" s="9"/>
      <c r="X139" s="9"/>
      <c r="Y139" s="9"/>
    </row>
    <row r="140">
      <c r="A140" s="10" t="s">
        <v>264</v>
      </c>
      <c r="B140" s="11">
        <v>45547.0</v>
      </c>
      <c r="C140" s="10" t="s">
        <v>225</v>
      </c>
      <c r="D140" s="10" t="s">
        <v>35</v>
      </c>
      <c r="E140" s="10" t="s">
        <v>36</v>
      </c>
      <c r="F140" s="10" t="s">
        <v>54</v>
      </c>
      <c r="G140" s="10" t="s">
        <v>26</v>
      </c>
      <c r="H140" s="10" t="s">
        <v>27</v>
      </c>
      <c r="I140" s="10">
        <v>1.0</v>
      </c>
      <c r="J140" s="10">
        <v>9999.0</v>
      </c>
      <c r="K140" s="10">
        <v>15.0</v>
      </c>
      <c r="L140" s="10" t="s">
        <v>28</v>
      </c>
      <c r="M140" s="10" t="s">
        <v>29</v>
      </c>
      <c r="N140" s="10" t="s">
        <v>94</v>
      </c>
      <c r="O140" s="10" t="s">
        <v>31</v>
      </c>
      <c r="P140" s="10" t="s">
        <v>47</v>
      </c>
      <c r="Q140" s="10"/>
      <c r="R140" s="7">
        <f t="shared" si="1"/>
        <v>0</v>
      </c>
      <c r="S140" s="8">
        <f t="shared" si="2"/>
        <v>0</v>
      </c>
      <c r="T140" s="8">
        <f t="shared" si="3"/>
        <v>0</v>
      </c>
      <c r="U140" s="8" t="str">
        <f t="shared" si="4"/>
        <v>Q3</v>
      </c>
      <c r="V140" s="9"/>
      <c r="W140" s="9"/>
      <c r="X140" s="9"/>
      <c r="Y140" s="9"/>
    </row>
    <row r="141">
      <c r="A141" s="10" t="s">
        <v>265</v>
      </c>
      <c r="B141" s="11">
        <v>45514.0</v>
      </c>
      <c r="C141" s="10" t="s">
        <v>96</v>
      </c>
      <c r="D141" s="10" t="s">
        <v>35</v>
      </c>
      <c r="E141" s="10" t="s">
        <v>85</v>
      </c>
      <c r="F141" s="10" t="s">
        <v>37</v>
      </c>
      <c r="G141" s="10" t="s">
        <v>38</v>
      </c>
      <c r="H141" s="10" t="s">
        <v>39</v>
      </c>
      <c r="I141" s="10">
        <v>1.0</v>
      </c>
      <c r="J141" s="10">
        <v>4999.0</v>
      </c>
      <c r="K141" s="10">
        <v>15.0</v>
      </c>
      <c r="L141" s="10" t="s">
        <v>45</v>
      </c>
      <c r="M141" s="10" t="s">
        <v>29</v>
      </c>
      <c r="N141" s="10" t="s">
        <v>30</v>
      </c>
      <c r="O141" s="10" t="s">
        <v>31</v>
      </c>
      <c r="P141" s="10" t="s">
        <v>32</v>
      </c>
      <c r="Q141" s="10"/>
      <c r="R141" s="7">
        <f t="shared" si="1"/>
        <v>4249.15</v>
      </c>
      <c r="S141" s="8">
        <f t="shared" si="2"/>
        <v>764.847</v>
      </c>
      <c r="T141" s="8">
        <f t="shared" si="3"/>
        <v>5013.997</v>
      </c>
      <c r="U141" s="8" t="str">
        <f t="shared" si="4"/>
        <v>Q3</v>
      </c>
      <c r="V141" s="9"/>
      <c r="W141" s="9"/>
      <c r="X141" s="9"/>
      <c r="Y141" s="9"/>
    </row>
    <row r="142">
      <c r="A142" s="10" t="s">
        <v>266</v>
      </c>
      <c r="B142" s="11">
        <v>45666.0</v>
      </c>
      <c r="C142" s="10" t="s">
        <v>183</v>
      </c>
      <c r="D142" s="10" t="s">
        <v>23</v>
      </c>
      <c r="E142" s="10" t="s">
        <v>24</v>
      </c>
      <c r="F142" s="10" t="s">
        <v>86</v>
      </c>
      <c r="G142" s="10" t="s">
        <v>38</v>
      </c>
      <c r="H142" s="10" t="s">
        <v>39</v>
      </c>
      <c r="I142" s="10">
        <v>5.0</v>
      </c>
      <c r="J142" s="10">
        <v>4999.0</v>
      </c>
      <c r="K142" s="10">
        <v>15.0</v>
      </c>
      <c r="L142" s="10" t="s">
        <v>28</v>
      </c>
      <c r="M142" s="10" t="s">
        <v>29</v>
      </c>
      <c r="N142" s="10" t="s">
        <v>57</v>
      </c>
      <c r="O142" s="10" t="s">
        <v>41</v>
      </c>
      <c r="P142" s="10" t="s">
        <v>32</v>
      </c>
      <c r="Q142" s="10"/>
      <c r="R142" s="7">
        <f t="shared" si="1"/>
        <v>21245.75</v>
      </c>
      <c r="S142" s="8">
        <f t="shared" si="2"/>
        <v>3240.877119</v>
      </c>
      <c r="T142" s="8">
        <f t="shared" si="3"/>
        <v>21245.75</v>
      </c>
      <c r="U142" s="8" t="str">
        <f t="shared" si="4"/>
        <v>Q1</v>
      </c>
      <c r="V142" s="9"/>
      <c r="W142" s="9"/>
      <c r="X142" s="9"/>
      <c r="Y142" s="9"/>
    </row>
    <row r="143">
      <c r="A143" s="10" t="s">
        <v>267</v>
      </c>
      <c r="B143" s="11">
        <v>45528.0</v>
      </c>
      <c r="C143" s="10" t="s">
        <v>144</v>
      </c>
      <c r="D143" s="10" t="s">
        <v>80</v>
      </c>
      <c r="E143" s="10" t="s">
        <v>92</v>
      </c>
      <c r="F143" s="10" t="s">
        <v>37</v>
      </c>
      <c r="G143" s="10" t="s">
        <v>66</v>
      </c>
      <c r="H143" s="10" t="s">
        <v>39</v>
      </c>
      <c r="I143" s="10">
        <v>1.0</v>
      </c>
      <c r="J143" s="10">
        <v>14999.0</v>
      </c>
      <c r="K143" s="10">
        <v>10.0</v>
      </c>
      <c r="L143" s="10" t="s">
        <v>45</v>
      </c>
      <c r="M143" s="10" t="s">
        <v>29</v>
      </c>
      <c r="N143" s="10" t="s">
        <v>89</v>
      </c>
      <c r="O143" s="10" t="s">
        <v>31</v>
      </c>
      <c r="P143" s="10" t="s">
        <v>32</v>
      </c>
      <c r="Q143" s="10"/>
      <c r="R143" s="7">
        <f t="shared" si="1"/>
        <v>13499.1</v>
      </c>
      <c r="S143" s="8">
        <f t="shared" si="2"/>
        <v>2429.838</v>
      </c>
      <c r="T143" s="8">
        <f t="shared" si="3"/>
        <v>15928.938</v>
      </c>
      <c r="U143" s="8" t="str">
        <f t="shared" si="4"/>
        <v>Q3</v>
      </c>
      <c r="V143" s="9"/>
      <c r="W143" s="9"/>
      <c r="X143" s="9"/>
      <c r="Y143" s="9"/>
    </row>
    <row r="144">
      <c r="A144" s="10" t="s">
        <v>268</v>
      </c>
      <c r="B144" s="11">
        <v>45640.0</v>
      </c>
      <c r="C144" s="10" t="s">
        <v>153</v>
      </c>
      <c r="D144" s="10" t="s">
        <v>23</v>
      </c>
      <c r="E144" s="10" t="s">
        <v>83</v>
      </c>
      <c r="F144" s="10" t="s">
        <v>181</v>
      </c>
      <c r="G144" s="10" t="s">
        <v>106</v>
      </c>
      <c r="H144" s="10" t="s">
        <v>27</v>
      </c>
      <c r="I144" s="10">
        <v>-1.0</v>
      </c>
      <c r="J144" s="10">
        <v>999.0</v>
      </c>
      <c r="K144" s="10">
        <v>15.0</v>
      </c>
      <c r="L144" s="10" t="s">
        <v>45</v>
      </c>
      <c r="M144" s="10" t="s">
        <v>29</v>
      </c>
      <c r="N144" s="10" t="s">
        <v>30</v>
      </c>
      <c r="O144" s="10" t="s">
        <v>67</v>
      </c>
      <c r="P144" s="12" t="s">
        <v>77</v>
      </c>
      <c r="Q144" s="11">
        <v>46005.0</v>
      </c>
      <c r="R144" s="7">
        <f t="shared" si="1"/>
        <v>0</v>
      </c>
      <c r="S144" s="8">
        <f t="shared" si="2"/>
        <v>0</v>
      </c>
      <c r="T144" s="8">
        <f t="shared" si="3"/>
        <v>0</v>
      </c>
      <c r="U144" s="8" t="str">
        <f t="shared" si="4"/>
        <v>Q4</v>
      </c>
      <c r="V144" s="9"/>
      <c r="W144" s="9"/>
      <c r="X144" s="9"/>
      <c r="Y144" s="9"/>
    </row>
    <row r="145">
      <c r="A145" s="10" t="s">
        <v>269</v>
      </c>
      <c r="B145" s="11">
        <v>45548.0</v>
      </c>
      <c r="C145" s="10" t="s">
        <v>64</v>
      </c>
      <c r="D145" s="10" t="s">
        <v>80</v>
      </c>
      <c r="E145" s="10" t="s">
        <v>92</v>
      </c>
      <c r="F145" s="10" t="s">
        <v>37</v>
      </c>
      <c r="G145" s="10" t="s">
        <v>26</v>
      </c>
      <c r="H145" s="10" t="s">
        <v>27</v>
      </c>
      <c r="I145" s="10">
        <v>1.0</v>
      </c>
      <c r="J145" s="10">
        <v>9999.0</v>
      </c>
      <c r="K145" s="10">
        <v>15.0</v>
      </c>
      <c r="L145" s="10" t="s">
        <v>28</v>
      </c>
      <c r="M145" s="10" t="s">
        <v>29</v>
      </c>
      <c r="N145" s="10" t="s">
        <v>30</v>
      </c>
      <c r="O145" s="10" t="s">
        <v>31</v>
      </c>
      <c r="P145" s="10" t="s">
        <v>32</v>
      </c>
      <c r="Q145" s="11">
        <v>45913.0</v>
      </c>
      <c r="R145" s="7">
        <f t="shared" si="1"/>
        <v>8499.15</v>
      </c>
      <c r="S145" s="8">
        <f t="shared" si="2"/>
        <v>1296.480508</v>
      </c>
      <c r="T145" s="8">
        <f t="shared" si="3"/>
        <v>8499.15</v>
      </c>
      <c r="U145" s="8" t="str">
        <f t="shared" si="4"/>
        <v>Q3</v>
      </c>
      <c r="V145" s="9"/>
      <c r="W145" s="9"/>
      <c r="X145" s="9"/>
      <c r="Y145" s="9"/>
    </row>
    <row r="146">
      <c r="A146" s="10" t="s">
        <v>270</v>
      </c>
      <c r="B146" s="11">
        <v>45791.0</v>
      </c>
      <c r="C146" s="10" t="s">
        <v>116</v>
      </c>
      <c r="D146" s="10" t="s">
        <v>60</v>
      </c>
      <c r="E146" s="10" t="s">
        <v>102</v>
      </c>
      <c r="F146" s="10" t="s">
        <v>54</v>
      </c>
      <c r="G146" s="10" t="s">
        <v>26</v>
      </c>
      <c r="H146" s="10" t="s">
        <v>27</v>
      </c>
      <c r="I146" s="10">
        <v>1.0</v>
      </c>
      <c r="J146" s="10">
        <v>9999.0</v>
      </c>
      <c r="K146" s="10">
        <v>20.0</v>
      </c>
      <c r="L146" s="10" t="s">
        <v>28</v>
      </c>
      <c r="M146" s="10" t="s">
        <v>29</v>
      </c>
      <c r="N146" s="10" t="s">
        <v>57</v>
      </c>
      <c r="O146" s="10" t="s">
        <v>67</v>
      </c>
      <c r="P146" s="10" t="s">
        <v>32</v>
      </c>
      <c r="Q146" s="11">
        <v>45881.0</v>
      </c>
      <c r="R146" s="7">
        <f t="shared" si="1"/>
        <v>7999.2</v>
      </c>
      <c r="S146" s="8">
        <f t="shared" si="2"/>
        <v>1220.216949</v>
      </c>
      <c r="T146" s="8">
        <f t="shared" si="3"/>
        <v>7999.2</v>
      </c>
      <c r="U146" s="8" t="str">
        <f t="shared" si="4"/>
        <v>Q2</v>
      </c>
      <c r="V146" s="9"/>
      <c r="W146" s="9"/>
      <c r="X146" s="9"/>
      <c r="Y146" s="9"/>
    </row>
    <row r="147">
      <c r="A147" s="10" t="s">
        <v>271</v>
      </c>
      <c r="B147" s="11">
        <v>45768.0</v>
      </c>
      <c r="C147" s="10" t="s">
        <v>183</v>
      </c>
      <c r="D147" s="10" t="s">
        <v>80</v>
      </c>
      <c r="E147" s="10" t="s">
        <v>92</v>
      </c>
      <c r="F147" s="10" t="s">
        <v>51</v>
      </c>
      <c r="G147" s="10" t="s">
        <v>106</v>
      </c>
      <c r="H147" s="10" t="s">
        <v>27</v>
      </c>
      <c r="I147" s="10">
        <v>1.0</v>
      </c>
      <c r="J147" s="10">
        <v>999.0</v>
      </c>
      <c r="K147" s="10">
        <v>10.0</v>
      </c>
      <c r="L147" s="10" t="s">
        <v>45</v>
      </c>
      <c r="M147" s="10" t="s">
        <v>29</v>
      </c>
      <c r="N147" s="10" t="s">
        <v>40</v>
      </c>
      <c r="O147" s="10" t="s">
        <v>67</v>
      </c>
      <c r="P147" s="10" t="s">
        <v>87</v>
      </c>
      <c r="Q147" s="10"/>
      <c r="R147" s="7">
        <f t="shared" si="1"/>
        <v>0</v>
      </c>
      <c r="S147" s="8">
        <f t="shared" si="2"/>
        <v>0</v>
      </c>
      <c r="T147" s="8">
        <f t="shared" si="3"/>
        <v>0</v>
      </c>
      <c r="U147" s="8" t="str">
        <f t="shared" si="4"/>
        <v>Q2</v>
      </c>
      <c r="V147" s="9"/>
      <c r="W147" s="9"/>
      <c r="X147" s="9"/>
      <c r="Y147" s="9"/>
    </row>
    <row r="148">
      <c r="A148" s="10" t="s">
        <v>272</v>
      </c>
      <c r="B148" s="11">
        <v>45683.0</v>
      </c>
      <c r="C148" s="10" t="s">
        <v>220</v>
      </c>
      <c r="D148" s="10" t="s">
        <v>60</v>
      </c>
      <c r="E148" s="10" t="s">
        <v>110</v>
      </c>
      <c r="F148" s="10" t="s">
        <v>51</v>
      </c>
      <c r="G148" s="10" t="s">
        <v>55</v>
      </c>
      <c r="H148" s="10" t="s">
        <v>56</v>
      </c>
      <c r="I148" s="10">
        <v>1.0</v>
      </c>
      <c r="J148" s="10">
        <v>1499.0</v>
      </c>
      <c r="K148" s="10">
        <v>5.0</v>
      </c>
      <c r="L148" s="10" t="s">
        <v>45</v>
      </c>
      <c r="M148" s="10" t="s">
        <v>29</v>
      </c>
      <c r="N148" s="10" t="s">
        <v>30</v>
      </c>
      <c r="O148" s="10" t="s">
        <v>31</v>
      </c>
      <c r="P148" s="10" t="s">
        <v>32</v>
      </c>
      <c r="Q148" s="10"/>
      <c r="R148" s="7">
        <f t="shared" si="1"/>
        <v>1424.05</v>
      </c>
      <c r="S148" s="8">
        <f t="shared" si="2"/>
        <v>256.329</v>
      </c>
      <c r="T148" s="8">
        <f t="shared" si="3"/>
        <v>1680.379</v>
      </c>
      <c r="U148" s="8" t="str">
        <f t="shared" si="4"/>
        <v>Q1</v>
      </c>
      <c r="V148" s="9"/>
      <c r="W148" s="9"/>
      <c r="X148" s="9"/>
      <c r="Y148" s="9"/>
    </row>
    <row r="149">
      <c r="A149" s="10" t="s">
        <v>273</v>
      </c>
      <c r="B149" s="11">
        <v>45778.0</v>
      </c>
      <c r="C149" s="10" t="s">
        <v>157</v>
      </c>
      <c r="D149" s="10" t="s">
        <v>60</v>
      </c>
      <c r="E149" s="10" t="s">
        <v>102</v>
      </c>
      <c r="F149" s="10" t="s">
        <v>51</v>
      </c>
      <c r="G149" s="10" t="s">
        <v>38</v>
      </c>
      <c r="H149" s="10" t="s">
        <v>39</v>
      </c>
      <c r="I149" s="10">
        <v>1.0</v>
      </c>
      <c r="J149" s="10">
        <v>4999.0</v>
      </c>
      <c r="K149" s="10">
        <v>5.0</v>
      </c>
      <c r="L149" s="10" t="s">
        <v>45</v>
      </c>
      <c r="M149" s="10" t="s">
        <v>166</v>
      </c>
      <c r="N149" s="10" t="s">
        <v>94</v>
      </c>
      <c r="O149" s="10" t="s">
        <v>31</v>
      </c>
      <c r="P149" s="10" t="s">
        <v>77</v>
      </c>
      <c r="Q149" s="10"/>
      <c r="R149" s="7">
        <f t="shared" si="1"/>
        <v>0</v>
      </c>
      <c r="S149" s="8">
        <f t="shared" si="2"/>
        <v>0</v>
      </c>
      <c r="T149" s="8">
        <f t="shared" si="3"/>
        <v>0</v>
      </c>
      <c r="U149" s="8" t="str">
        <f t="shared" si="4"/>
        <v>Q2</v>
      </c>
      <c r="V149" s="9"/>
      <c r="W149" s="9"/>
      <c r="X149" s="9"/>
      <c r="Y149" s="9"/>
    </row>
    <row r="150">
      <c r="A150" s="10" t="s">
        <v>274</v>
      </c>
      <c r="B150" s="11">
        <v>45739.0</v>
      </c>
      <c r="C150" s="10" t="s">
        <v>134</v>
      </c>
      <c r="D150" s="10" t="s">
        <v>60</v>
      </c>
      <c r="E150" s="10" t="s">
        <v>102</v>
      </c>
      <c r="F150" s="10" t="s">
        <v>65</v>
      </c>
      <c r="G150" s="10" t="s">
        <v>93</v>
      </c>
      <c r="H150" s="10" t="s">
        <v>27</v>
      </c>
      <c r="I150" s="10">
        <v>1.0</v>
      </c>
      <c r="J150" s="10">
        <v>2999.0</v>
      </c>
      <c r="K150" s="10">
        <v>5.0</v>
      </c>
      <c r="L150" s="10" t="s">
        <v>45</v>
      </c>
      <c r="M150" s="10" t="s">
        <v>29</v>
      </c>
      <c r="N150" s="10" t="s">
        <v>40</v>
      </c>
      <c r="O150" s="10" t="s">
        <v>67</v>
      </c>
      <c r="P150" s="10" t="s">
        <v>32</v>
      </c>
      <c r="Q150" s="11">
        <v>45829.0</v>
      </c>
      <c r="R150" s="7">
        <f t="shared" si="1"/>
        <v>2849.05</v>
      </c>
      <c r="S150" s="8">
        <f t="shared" si="2"/>
        <v>512.829</v>
      </c>
      <c r="T150" s="8">
        <f t="shared" si="3"/>
        <v>3361.879</v>
      </c>
      <c r="U150" s="8" t="str">
        <f t="shared" si="4"/>
        <v>Q1</v>
      </c>
      <c r="V150" s="9"/>
      <c r="W150" s="9"/>
      <c r="X150" s="9"/>
      <c r="Y150" s="9"/>
    </row>
    <row r="151">
      <c r="A151" s="10" t="s">
        <v>275</v>
      </c>
      <c r="B151" s="11">
        <v>45546.0</v>
      </c>
      <c r="C151" s="10" t="s">
        <v>220</v>
      </c>
      <c r="D151" s="10" t="s">
        <v>60</v>
      </c>
      <c r="E151" s="10" t="s">
        <v>102</v>
      </c>
      <c r="F151" s="10" t="s">
        <v>86</v>
      </c>
      <c r="G151" s="10" t="s">
        <v>106</v>
      </c>
      <c r="H151" s="10" t="s">
        <v>27</v>
      </c>
      <c r="I151" s="10">
        <v>1.0</v>
      </c>
      <c r="J151" s="10">
        <v>999.0</v>
      </c>
      <c r="K151" s="10">
        <v>5.0</v>
      </c>
      <c r="L151" s="10" t="s">
        <v>45</v>
      </c>
      <c r="M151" s="10" t="s">
        <v>29</v>
      </c>
      <c r="N151" s="10" t="s">
        <v>40</v>
      </c>
      <c r="O151" s="10" t="s">
        <v>31</v>
      </c>
      <c r="P151" s="10" t="s">
        <v>32</v>
      </c>
      <c r="Q151" s="11">
        <v>45636.0</v>
      </c>
      <c r="R151" s="7">
        <f t="shared" si="1"/>
        <v>949.05</v>
      </c>
      <c r="S151" s="8">
        <f t="shared" si="2"/>
        <v>170.829</v>
      </c>
      <c r="T151" s="8">
        <f t="shared" si="3"/>
        <v>1119.879</v>
      </c>
      <c r="U151" s="8" t="str">
        <f t="shared" si="4"/>
        <v>Q3</v>
      </c>
      <c r="V151" s="9"/>
      <c r="W151" s="9"/>
      <c r="X151" s="9"/>
      <c r="Y151" s="9"/>
    </row>
    <row r="152">
      <c r="A152" s="10" t="s">
        <v>276</v>
      </c>
      <c r="B152" s="11">
        <v>45529.0</v>
      </c>
      <c r="C152" s="10" t="s">
        <v>225</v>
      </c>
      <c r="D152" s="10" t="s">
        <v>35</v>
      </c>
      <c r="E152" s="10" t="s">
        <v>36</v>
      </c>
      <c r="F152" s="10" t="s">
        <v>74</v>
      </c>
      <c r="G152" s="10" t="s">
        <v>38</v>
      </c>
      <c r="H152" s="10" t="s">
        <v>39</v>
      </c>
      <c r="I152" s="10">
        <v>1.0</v>
      </c>
      <c r="J152" s="10">
        <v>4999.0</v>
      </c>
      <c r="K152" s="10">
        <v>5.0</v>
      </c>
      <c r="L152" s="10" t="s">
        <v>45</v>
      </c>
      <c r="M152" s="10" t="s">
        <v>29</v>
      </c>
      <c r="N152" s="10" t="s">
        <v>76</v>
      </c>
      <c r="O152" s="10" t="s">
        <v>31</v>
      </c>
      <c r="P152" s="10" t="s">
        <v>32</v>
      </c>
      <c r="Q152" s="10"/>
      <c r="R152" s="7">
        <f t="shared" si="1"/>
        <v>4749.05</v>
      </c>
      <c r="S152" s="8">
        <f t="shared" si="2"/>
        <v>854.829</v>
      </c>
      <c r="T152" s="8">
        <f t="shared" si="3"/>
        <v>5603.879</v>
      </c>
      <c r="U152" s="8" t="str">
        <f t="shared" si="4"/>
        <v>Q3</v>
      </c>
      <c r="V152" s="9"/>
      <c r="W152" s="9"/>
      <c r="X152" s="9"/>
      <c r="Y152" s="9"/>
    </row>
    <row r="153">
      <c r="A153" s="10" t="s">
        <v>277</v>
      </c>
      <c r="B153" s="11">
        <v>45575.0</v>
      </c>
      <c r="C153" s="10" t="s">
        <v>53</v>
      </c>
      <c r="D153" s="10" t="s">
        <v>60</v>
      </c>
      <c r="E153" s="10" t="s">
        <v>110</v>
      </c>
      <c r="F153" s="10" t="s">
        <v>86</v>
      </c>
      <c r="G153" s="10" t="s">
        <v>26</v>
      </c>
      <c r="H153" s="10" t="s">
        <v>27</v>
      </c>
      <c r="I153" s="10">
        <v>1.0</v>
      </c>
      <c r="J153" s="10">
        <v>9999.0</v>
      </c>
      <c r="K153" s="10">
        <v>0.0</v>
      </c>
      <c r="L153" s="10" t="s">
        <v>28</v>
      </c>
      <c r="M153" s="10" t="s">
        <v>29</v>
      </c>
      <c r="N153" s="10" t="s">
        <v>30</v>
      </c>
      <c r="O153" s="10" t="s">
        <v>67</v>
      </c>
      <c r="P153" s="10" t="s">
        <v>77</v>
      </c>
      <c r="Q153" s="10"/>
      <c r="R153" s="7">
        <f t="shared" si="1"/>
        <v>0</v>
      </c>
      <c r="S153" s="8">
        <f t="shared" si="2"/>
        <v>0</v>
      </c>
      <c r="T153" s="8">
        <f t="shared" si="3"/>
        <v>0</v>
      </c>
      <c r="U153" s="8" t="str">
        <f t="shared" si="4"/>
        <v>Q4</v>
      </c>
      <c r="V153" s="9"/>
      <c r="W153" s="9"/>
      <c r="X153" s="9"/>
      <c r="Y153" s="9"/>
    </row>
    <row r="154">
      <c r="A154" s="10" t="s">
        <v>278</v>
      </c>
      <c r="B154" s="11">
        <v>45744.0</v>
      </c>
      <c r="C154" s="10" t="s">
        <v>189</v>
      </c>
      <c r="D154" s="10" t="s">
        <v>35</v>
      </c>
      <c r="E154" s="10" t="s">
        <v>128</v>
      </c>
      <c r="F154" s="10" t="s">
        <v>65</v>
      </c>
      <c r="G154" s="10" t="s">
        <v>55</v>
      </c>
      <c r="H154" s="10" t="s">
        <v>56</v>
      </c>
      <c r="I154" s="10">
        <v>1.0</v>
      </c>
      <c r="J154" s="10">
        <v>1499.0</v>
      </c>
      <c r="K154" s="10">
        <v>0.15</v>
      </c>
      <c r="L154" s="10" t="s">
        <v>45</v>
      </c>
      <c r="M154" s="10" t="s">
        <v>29</v>
      </c>
      <c r="N154" s="10" t="s">
        <v>30</v>
      </c>
      <c r="O154" s="10" t="s">
        <v>46</v>
      </c>
      <c r="P154" s="10" t="s">
        <v>32</v>
      </c>
      <c r="Q154" s="10"/>
      <c r="R154" s="7">
        <f t="shared" si="1"/>
        <v>1496.7515</v>
      </c>
      <c r="S154" s="8">
        <f t="shared" si="2"/>
        <v>269.41527</v>
      </c>
      <c r="T154" s="8">
        <f t="shared" si="3"/>
        <v>1766.16677</v>
      </c>
      <c r="U154" s="8" t="str">
        <f t="shared" si="4"/>
        <v>Q1</v>
      </c>
      <c r="V154" s="9"/>
      <c r="W154" s="9"/>
      <c r="X154" s="9"/>
      <c r="Y154" s="9"/>
    </row>
    <row r="155">
      <c r="A155" s="10" t="s">
        <v>279</v>
      </c>
      <c r="B155" s="11">
        <v>45829.0</v>
      </c>
      <c r="C155" s="10" t="s">
        <v>150</v>
      </c>
      <c r="D155" s="10" t="s">
        <v>80</v>
      </c>
      <c r="E155" s="10" t="s">
        <v>81</v>
      </c>
      <c r="F155" s="10" t="s">
        <v>37</v>
      </c>
      <c r="G155" s="10" t="s">
        <v>93</v>
      </c>
      <c r="H155" s="10" t="s">
        <v>27</v>
      </c>
      <c r="I155" s="10">
        <v>1.0</v>
      </c>
      <c r="J155" s="10">
        <v>2999.0</v>
      </c>
      <c r="K155" s="10">
        <v>0.15</v>
      </c>
      <c r="L155" s="10" t="s">
        <v>45</v>
      </c>
      <c r="M155" s="10" t="s">
        <v>29</v>
      </c>
      <c r="N155" s="10" t="s">
        <v>40</v>
      </c>
      <c r="O155" s="10" t="s">
        <v>67</v>
      </c>
      <c r="P155" s="10" t="s">
        <v>32</v>
      </c>
      <c r="Q155" s="11">
        <v>46194.0</v>
      </c>
      <c r="R155" s="7">
        <f t="shared" si="1"/>
        <v>2994.5015</v>
      </c>
      <c r="S155" s="8">
        <f t="shared" si="2"/>
        <v>539.01027</v>
      </c>
      <c r="T155" s="8">
        <f t="shared" si="3"/>
        <v>3533.51177</v>
      </c>
      <c r="U155" s="8" t="str">
        <f t="shared" si="4"/>
        <v>Q2</v>
      </c>
      <c r="V155" s="9"/>
      <c r="W155" s="9"/>
      <c r="X155" s="9"/>
      <c r="Y155" s="9"/>
    </row>
    <row r="156">
      <c r="A156" s="10" t="s">
        <v>280</v>
      </c>
      <c r="B156" s="11">
        <v>45501.0</v>
      </c>
      <c r="C156" s="10" t="s">
        <v>49</v>
      </c>
      <c r="D156" s="10" t="s">
        <v>60</v>
      </c>
      <c r="E156" s="10" t="s">
        <v>61</v>
      </c>
      <c r="F156" s="10" t="s">
        <v>37</v>
      </c>
      <c r="G156" s="10" t="s">
        <v>26</v>
      </c>
      <c r="H156" s="10" t="s">
        <v>27</v>
      </c>
      <c r="I156" s="10">
        <v>1.0</v>
      </c>
      <c r="J156" s="10">
        <v>9999.0</v>
      </c>
      <c r="K156" s="10">
        <v>20.0</v>
      </c>
      <c r="L156" s="10" t="s">
        <v>45</v>
      </c>
      <c r="M156" s="10" t="s">
        <v>29</v>
      </c>
      <c r="N156" s="10" t="s">
        <v>40</v>
      </c>
      <c r="O156" s="10" t="s">
        <v>31</v>
      </c>
      <c r="P156" s="10" t="s">
        <v>32</v>
      </c>
      <c r="Q156" s="11">
        <v>45866.0</v>
      </c>
      <c r="R156" s="7">
        <f t="shared" si="1"/>
        <v>7999.2</v>
      </c>
      <c r="S156" s="8">
        <f t="shared" si="2"/>
        <v>1439.856</v>
      </c>
      <c r="T156" s="8">
        <f t="shared" si="3"/>
        <v>9439.056</v>
      </c>
      <c r="U156" s="8" t="str">
        <f t="shared" si="4"/>
        <v>Q3</v>
      </c>
      <c r="V156" s="9"/>
      <c r="W156" s="9"/>
      <c r="X156" s="9"/>
      <c r="Y156" s="9"/>
    </row>
    <row r="157">
      <c r="A157" s="10" t="s">
        <v>281</v>
      </c>
      <c r="B157" s="11">
        <v>45586.0</v>
      </c>
      <c r="C157" s="10" t="s">
        <v>161</v>
      </c>
      <c r="D157" s="10" t="s">
        <v>60</v>
      </c>
      <c r="E157" s="10" t="s">
        <v>122</v>
      </c>
      <c r="F157" s="10" t="s">
        <v>25</v>
      </c>
      <c r="G157" s="10" t="s">
        <v>55</v>
      </c>
      <c r="H157" s="10" t="s">
        <v>56</v>
      </c>
      <c r="I157" s="10">
        <v>1.0</v>
      </c>
      <c r="J157" s="10">
        <v>1499.0</v>
      </c>
      <c r="K157" s="10">
        <v>10.0</v>
      </c>
      <c r="L157" s="10" t="s">
        <v>45</v>
      </c>
      <c r="M157" s="10" t="s">
        <v>29</v>
      </c>
      <c r="N157" s="10" t="s">
        <v>40</v>
      </c>
      <c r="O157" s="10" t="s">
        <v>41</v>
      </c>
      <c r="P157" s="10" t="s">
        <v>32</v>
      </c>
      <c r="Q157" s="10"/>
      <c r="R157" s="7">
        <f t="shared" si="1"/>
        <v>1349.1</v>
      </c>
      <c r="S157" s="8">
        <f t="shared" si="2"/>
        <v>242.838</v>
      </c>
      <c r="T157" s="8">
        <f t="shared" si="3"/>
        <v>1591.938</v>
      </c>
      <c r="U157" s="8" t="str">
        <f t="shared" si="4"/>
        <v>Q4</v>
      </c>
      <c r="V157" s="9"/>
      <c r="W157" s="9"/>
      <c r="X157" s="9"/>
      <c r="Y157" s="9"/>
    </row>
    <row r="158">
      <c r="A158" s="10" t="s">
        <v>282</v>
      </c>
      <c r="B158" s="11">
        <v>45585.0</v>
      </c>
      <c r="C158" s="10" t="s">
        <v>22</v>
      </c>
      <c r="D158" s="10" t="s">
        <v>35</v>
      </c>
      <c r="E158" s="10" t="s">
        <v>50</v>
      </c>
      <c r="F158" s="10" t="s">
        <v>65</v>
      </c>
      <c r="G158" s="10" t="s">
        <v>75</v>
      </c>
      <c r="H158" s="10" t="s">
        <v>56</v>
      </c>
      <c r="I158" s="10">
        <v>1.0</v>
      </c>
      <c r="J158" s="10">
        <v>799.0</v>
      </c>
      <c r="K158" s="10">
        <v>5.0</v>
      </c>
      <c r="L158" s="10" t="s">
        <v>28</v>
      </c>
      <c r="M158" s="10" t="s">
        <v>29</v>
      </c>
      <c r="N158" s="10" t="s">
        <v>30</v>
      </c>
      <c r="O158" s="10" t="s">
        <v>41</v>
      </c>
      <c r="P158" s="10" t="s">
        <v>32</v>
      </c>
      <c r="Q158" s="10"/>
      <c r="R158" s="7">
        <f t="shared" si="1"/>
        <v>759.05</v>
      </c>
      <c r="S158" s="8">
        <f t="shared" si="2"/>
        <v>115.7872881</v>
      </c>
      <c r="T158" s="8">
        <f t="shared" si="3"/>
        <v>759.05</v>
      </c>
      <c r="U158" s="8" t="str">
        <f t="shared" si="4"/>
        <v>Q4</v>
      </c>
      <c r="V158" s="9"/>
      <c r="W158" s="9"/>
      <c r="X158" s="9"/>
      <c r="Y158" s="9"/>
    </row>
    <row r="159">
      <c r="A159" s="10" t="s">
        <v>283</v>
      </c>
      <c r="B159" s="11">
        <v>45786.0</v>
      </c>
      <c r="C159" s="10" t="s">
        <v>34</v>
      </c>
      <c r="D159" s="10" t="s">
        <v>23</v>
      </c>
      <c r="E159" s="10" t="s">
        <v>73</v>
      </c>
      <c r="F159" s="10" t="s">
        <v>44</v>
      </c>
      <c r="G159" s="10" t="s">
        <v>26</v>
      </c>
      <c r="H159" s="10" t="s">
        <v>27</v>
      </c>
      <c r="I159" s="10">
        <v>1.0</v>
      </c>
      <c r="J159" s="10">
        <v>9999.0</v>
      </c>
      <c r="K159" s="10">
        <v>0.0</v>
      </c>
      <c r="L159" s="10" t="s">
        <v>45</v>
      </c>
      <c r="M159" s="10" t="s">
        <v>29</v>
      </c>
      <c r="N159" s="10" t="s">
        <v>30</v>
      </c>
      <c r="O159" s="10" t="s">
        <v>46</v>
      </c>
      <c r="P159" s="10" t="s">
        <v>62</v>
      </c>
      <c r="Q159" s="10"/>
      <c r="R159" s="7">
        <f t="shared" si="1"/>
        <v>0</v>
      </c>
      <c r="S159" s="8">
        <f t="shared" si="2"/>
        <v>0</v>
      </c>
      <c r="T159" s="8">
        <f t="shared" si="3"/>
        <v>0</v>
      </c>
      <c r="U159" s="8" t="str">
        <f t="shared" si="4"/>
        <v>Q2</v>
      </c>
      <c r="V159" s="9"/>
      <c r="W159" s="9"/>
      <c r="X159" s="9"/>
      <c r="Y159" s="9"/>
    </row>
    <row r="160">
      <c r="A160" s="10" t="s">
        <v>284</v>
      </c>
      <c r="B160" s="11">
        <v>45737.0</v>
      </c>
      <c r="C160" s="10" t="s">
        <v>96</v>
      </c>
      <c r="D160" s="10" t="s">
        <v>80</v>
      </c>
      <c r="E160" s="10" t="s">
        <v>81</v>
      </c>
      <c r="F160" s="10" t="s">
        <v>51</v>
      </c>
      <c r="G160" s="10" t="s">
        <v>66</v>
      </c>
      <c r="H160" s="10" t="s">
        <v>39</v>
      </c>
      <c r="I160" s="10">
        <v>5.0</v>
      </c>
      <c r="J160" s="10">
        <v>14999.0</v>
      </c>
      <c r="K160" s="10">
        <v>0.0</v>
      </c>
      <c r="L160" s="10" t="s">
        <v>28</v>
      </c>
      <c r="M160" s="10" t="s">
        <v>29</v>
      </c>
      <c r="N160" s="10" t="s">
        <v>40</v>
      </c>
      <c r="O160" s="10" t="s">
        <v>67</v>
      </c>
      <c r="P160" s="10" t="s">
        <v>47</v>
      </c>
      <c r="Q160" s="10"/>
      <c r="R160" s="7">
        <f t="shared" si="1"/>
        <v>0</v>
      </c>
      <c r="S160" s="8">
        <f t="shared" si="2"/>
        <v>0</v>
      </c>
      <c r="T160" s="8">
        <f t="shared" si="3"/>
        <v>0</v>
      </c>
      <c r="U160" s="8" t="str">
        <f t="shared" si="4"/>
        <v>Q1</v>
      </c>
      <c r="V160" s="9"/>
      <c r="W160" s="9"/>
      <c r="X160" s="9"/>
      <c r="Y160" s="9"/>
    </row>
    <row r="161">
      <c r="A161" s="10" t="s">
        <v>285</v>
      </c>
      <c r="B161" s="11">
        <v>45820.0</v>
      </c>
      <c r="C161" s="10" t="s">
        <v>206</v>
      </c>
      <c r="D161" s="10" t="s">
        <v>80</v>
      </c>
      <c r="E161" s="10" t="s">
        <v>112</v>
      </c>
      <c r="F161" s="10" t="s">
        <v>51</v>
      </c>
      <c r="G161" s="10" t="s">
        <v>66</v>
      </c>
      <c r="H161" s="10" t="s">
        <v>39</v>
      </c>
      <c r="I161" s="10">
        <v>1.0</v>
      </c>
      <c r="J161" s="10">
        <v>14999.0</v>
      </c>
      <c r="K161" s="10">
        <v>10.0</v>
      </c>
      <c r="L161" s="10" t="s">
        <v>28</v>
      </c>
      <c r="M161" s="10" t="s">
        <v>29</v>
      </c>
      <c r="N161" s="10" t="s">
        <v>40</v>
      </c>
      <c r="O161" s="10" t="s">
        <v>46</v>
      </c>
      <c r="P161" s="10" t="s">
        <v>77</v>
      </c>
      <c r="Q161" s="10"/>
      <c r="R161" s="7">
        <f t="shared" si="1"/>
        <v>0</v>
      </c>
      <c r="S161" s="8">
        <f t="shared" si="2"/>
        <v>0</v>
      </c>
      <c r="T161" s="8">
        <f t="shared" si="3"/>
        <v>0</v>
      </c>
      <c r="U161" s="8" t="str">
        <f t="shared" si="4"/>
        <v>Q2</v>
      </c>
      <c r="V161" s="9"/>
      <c r="W161" s="9"/>
      <c r="X161" s="9"/>
      <c r="Y161" s="9"/>
    </row>
    <row r="162">
      <c r="A162" s="10" t="s">
        <v>286</v>
      </c>
      <c r="B162" s="11">
        <v>45521.0</v>
      </c>
      <c r="C162" s="10" t="s">
        <v>189</v>
      </c>
      <c r="D162" s="10" t="s">
        <v>60</v>
      </c>
      <c r="E162" s="10" t="s">
        <v>122</v>
      </c>
      <c r="F162" s="10" t="s">
        <v>181</v>
      </c>
      <c r="G162" s="10" t="s">
        <v>106</v>
      </c>
      <c r="H162" s="10" t="s">
        <v>27</v>
      </c>
      <c r="I162" s="10">
        <v>1.0</v>
      </c>
      <c r="J162" s="10">
        <v>999.0</v>
      </c>
      <c r="K162" s="10">
        <v>10.0</v>
      </c>
      <c r="L162" s="10" t="s">
        <v>45</v>
      </c>
      <c r="M162" s="10" t="s">
        <v>29</v>
      </c>
      <c r="N162" s="10" t="s">
        <v>57</v>
      </c>
      <c r="O162" s="10" t="s">
        <v>31</v>
      </c>
      <c r="P162" s="10" t="s">
        <v>87</v>
      </c>
      <c r="Q162" s="10"/>
      <c r="R162" s="7">
        <f t="shared" si="1"/>
        <v>0</v>
      </c>
      <c r="S162" s="8">
        <f t="shared" si="2"/>
        <v>0</v>
      </c>
      <c r="T162" s="8">
        <f t="shared" si="3"/>
        <v>0</v>
      </c>
      <c r="U162" s="8" t="str">
        <f t="shared" si="4"/>
        <v>Q3</v>
      </c>
      <c r="V162" s="9"/>
      <c r="W162" s="9"/>
      <c r="X162" s="9"/>
      <c r="Y162" s="9"/>
    </row>
    <row r="163">
      <c r="A163" s="10" t="s">
        <v>287</v>
      </c>
      <c r="B163" s="11">
        <v>45915.0</v>
      </c>
      <c r="C163" s="10" t="s">
        <v>288</v>
      </c>
      <c r="D163" s="10" t="s">
        <v>23</v>
      </c>
      <c r="E163" s="10" t="s">
        <v>83</v>
      </c>
      <c r="F163" s="10" t="s">
        <v>65</v>
      </c>
      <c r="G163" s="10" t="s">
        <v>26</v>
      </c>
      <c r="H163" s="10" t="s">
        <v>27</v>
      </c>
      <c r="I163" s="10">
        <v>1.0</v>
      </c>
      <c r="J163" s="10">
        <v>9999.0</v>
      </c>
      <c r="K163" s="10">
        <v>10.0</v>
      </c>
      <c r="L163" s="10" t="s">
        <v>28</v>
      </c>
      <c r="M163" s="10" t="s">
        <v>29</v>
      </c>
      <c r="N163" s="10" t="s">
        <v>57</v>
      </c>
      <c r="O163" s="10" t="s">
        <v>67</v>
      </c>
      <c r="P163" s="10" t="s">
        <v>32</v>
      </c>
      <c r="Q163" s="11">
        <v>46280.0</v>
      </c>
      <c r="R163" s="7">
        <f t="shared" si="1"/>
        <v>8999.1</v>
      </c>
      <c r="S163" s="8">
        <f t="shared" si="2"/>
        <v>1372.744068</v>
      </c>
      <c r="T163" s="8">
        <f t="shared" si="3"/>
        <v>8999.1</v>
      </c>
      <c r="U163" s="8" t="str">
        <f t="shared" si="4"/>
        <v>Q3</v>
      </c>
      <c r="V163" s="9"/>
      <c r="W163" s="9"/>
      <c r="X163" s="9"/>
      <c r="Y163" s="9"/>
    </row>
    <row r="164">
      <c r="A164" s="10" t="s">
        <v>289</v>
      </c>
      <c r="B164" s="11">
        <v>45726.0</v>
      </c>
      <c r="C164" s="10" t="s">
        <v>157</v>
      </c>
      <c r="D164" s="10" t="s">
        <v>60</v>
      </c>
      <c r="E164" s="10" t="s">
        <v>102</v>
      </c>
      <c r="F164" s="10" t="s">
        <v>86</v>
      </c>
      <c r="G164" s="10" t="s">
        <v>106</v>
      </c>
      <c r="H164" s="10" t="s">
        <v>27</v>
      </c>
      <c r="I164" s="10">
        <v>1.0</v>
      </c>
      <c r="J164" s="10">
        <v>0.0</v>
      </c>
      <c r="K164" s="10">
        <v>0.0</v>
      </c>
      <c r="L164" s="10" t="s">
        <v>45</v>
      </c>
      <c r="M164" s="10" t="s">
        <v>29</v>
      </c>
      <c r="N164" s="10" t="s">
        <v>30</v>
      </c>
      <c r="O164" s="10" t="s">
        <v>46</v>
      </c>
      <c r="P164" s="10" t="s">
        <v>32</v>
      </c>
      <c r="Q164" s="11">
        <v>45757.0</v>
      </c>
      <c r="R164" s="7">
        <f t="shared" si="1"/>
        <v>0</v>
      </c>
      <c r="S164" s="8">
        <f t="shared" si="2"/>
        <v>0</v>
      </c>
      <c r="T164" s="8">
        <f t="shared" si="3"/>
        <v>0</v>
      </c>
      <c r="U164" s="8" t="str">
        <f t="shared" si="4"/>
        <v>Q1</v>
      </c>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25"/>
    <col customWidth="1" min="2" max="2" width="50.13"/>
    <col customWidth="1" min="3" max="26" width="12.63"/>
  </cols>
  <sheetData>
    <row r="1">
      <c r="A1" s="13" t="s">
        <v>290</v>
      </c>
      <c r="B1" s="13" t="s">
        <v>291</v>
      </c>
      <c r="C1" s="14"/>
      <c r="D1" s="14"/>
      <c r="E1" s="14"/>
      <c r="F1" s="14"/>
      <c r="G1" s="14"/>
      <c r="H1" s="14"/>
      <c r="I1" s="14"/>
      <c r="J1" s="14"/>
      <c r="K1" s="14"/>
      <c r="L1" s="14"/>
      <c r="M1" s="14"/>
      <c r="N1" s="14"/>
      <c r="O1" s="14"/>
      <c r="P1" s="14"/>
      <c r="Q1" s="14"/>
      <c r="R1" s="14"/>
      <c r="S1" s="14"/>
      <c r="T1" s="14"/>
      <c r="U1" s="14"/>
      <c r="V1" s="14"/>
      <c r="W1" s="14"/>
      <c r="X1" s="14"/>
      <c r="Y1" s="14"/>
      <c r="Z1" s="14"/>
    </row>
    <row r="2">
      <c r="A2" s="15" t="s">
        <v>292</v>
      </c>
      <c r="B2" s="15" t="s">
        <v>293</v>
      </c>
      <c r="C2" s="14"/>
      <c r="D2" s="14"/>
      <c r="E2" s="14"/>
      <c r="F2" s="14"/>
      <c r="G2" s="14"/>
      <c r="H2" s="14"/>
      <c r="I2" s="14"/>
      <c r="J2" s="14"/>
      <c r="K2" s="14"/>
      <c r="L2" s="14"/>
      <c r="M2" s="14"/>
      <c r="N2" s="14"/>
      <c r="O2" s="14"/>
      <c r="P2" s="14"/>
      <c r="Q2" s="14"/>
      <c r="R2" s="14"/>
      <c r="S2" s="14"/>
      <c r="T2" s="14"/>
      <c r="U2" s="14"/>
      <c r="V2" s="14"/>
      <c r="W2" s="14"/>
      <c r="X2" s="14"/>
      <c r="Y2" s="14"/>
      <c r="Z2" s="14"/>
    </row>
    <row r="3">
      <c r="A3" s="15" t="s">
        <v>294</v>
      </c>
      <c r="B3" s="15" t="s">
        <v>295</v>
      </c>
      <c r="C3" s="14"/>
      <c r="D3" s="14"/>
      <c r="E3" s="14"/>
      <c r="F3" s="14"/>
      <c r="G3" s="14"/>
      <c r="H3" s="14"/>
      <c r="I3" s="14"/>
      <c r="J3" s="14"/>
      <c r="K3" s="14"/>
      <c r="L3" s="14"/>
      <c r="M3" s="14"/>
      <c r="N3" s="14"/>
      <c r="O3" s="14"/>
      <c r="P3" s="14"/>
      <c r="Q3" s="14"/>
      <c r="R3" s="14"/>
      <c r="S3" s="14"/>
      <c r="T3" s="14"/>
      <c r="U3" s="14"/>
      <c r="V3" s="14"/>
      <c r="W3" s="14"/>
      <c r="X3" s="14"/>
      <c r="Y3" s="14"/>
      <c r="Z3" s="14"/>
    </row>
    <row r="4">
      <c r="A4" s="16" t="s">
        <v>296</v>
      </c>
      <c r="B4" s="15" t="str">
        <f>IFERROR(__xludf.DUMMYFUNCTION("INDEX(SORT(FILTER({'Region Summary'!A2:A1000,'Region Summary'!B2:B1000/'Region Summary'!C2:C1000},'Region Summary'!A2:A1000&lt;&gt;""""),2,FALSE),1,1)"),"North")</f>
        <v>North</v>
      </c>
      <c r="C4" s="14"/>
      <c r="D4" s="14"/>
      <c r="E4" s="14"/>
      <c r="F4" s="14"/>
      <c r="G4" s="14"/>
      <c r="H4" s="14"/>
      <c r="I4" s="14"/>
      <c r="J4" s="14"/>
      <c r="K4" s="14"/>
      <c r="L4" s="14"/>
      <c r="M4" s="14"/>
      <c r="N4" s="14"/>
      <c r="O4" s="14"/>
      <c r="P4" s="14"/>
      <c r="Q4" s="14"/>
      <c r="R4" s="14"/>
      <c r="S4" s="14"/>
      <c r="T4" s="14"/>
      <c r="U4" s="14"/>
      <c r="V4" s="14"/>
      <c r="W4" s="14"/>
      <c r="X4" s="14"/>
      <c r="Y4" s="14"/>
      <c r="Z4" s="14"/>
    </row>
    <row r="5">
      <c r="A5" s="16" t="s">
        <v>297</v>
      </c>
      <c r="B5" s="15">
        <f>SUMPRODUCT((Transactions!H2:H2000="Subscription")*(Transactions!P2:P2000="Active")*(Transactions!M2:M2000="INR")*(Transactions!K2:K2000&gt;=0)*(Transactions!K2:K2000&lt;=100)*(Transactions!T2:T2000))</f>
        <v>167924.7466</v>
      </c>
      <c r="C5" s="14"/>
      <c r="D5" s="17"/>
      <c r="E5" s="14"/>
      <c r="F5" s="14"/>
      <c r="G5" s="14"/>
      <c r="H5" s="14"/>
      <c r="I5" s="14"/>
      <c r="J5" s="14"/>
      <c r="K5" s="14"/>
      <c r="L5" s="14"/>
      <c r="M5" s="14"/>
      <c r="N5" s="14"/>
      <c r="O5" s="14"/>
      <c r="P5" s="14"/>
      <c r="Q5" s="14"/>
      <c r="R5" s="14"/>
      <c r="S5" s="14"/>
      <c r="T5" s="14"/>
      <c r="U5" s="14"/>
      <c r="V5" s="14"/>
      <c r="W5" s="14"/>
      <c r="X5" s="14"/>
      <c r="Y5" s="14"/>
      <c r="Z5" s="14"/>
    </row>
    <row r="6">
      <c r="A6" s="15" t="s">
        <v>298</v>
      </c>
      <c r="B6" s="18" t="str">
        <f t="array" ref="B6">INDEX('Monthly Trend'!A2:A1000, MATCH(MAX('Monthly Trend'!D2:D1000), 'Monthly Trend'!D2:D1000, 0))</f>
        <v>2025-01</v>
      </c>
      <c r="C6" s="14"/>
      <c r="D6" s="17"/>
      <c r="E6" s="14"/>
      <c r="F6" s="14"/>
      <c r="G6" s="14"/>
      <c r="H6" s="14"/>
      <c r="I6" s="14"/>
      <c r="J6" s="14"/>
      <c r="K6" s="14"/>
      <c r="L6" s="14"/>
      <c r="M6" s="14"/>
      <c r="N6" s="14"/>
      <c r="O6" s="14"/>
      <c r="P6" s="14"/>
      <c r="Q6" s="14"/>
      <c r="R6" s="14"/>
      <c r="S6" s="14"/>
      <c r="T6" s="14"/>
      <c r="U6" s="14"/>
      <c r="V6" s="14"/>
      <c r="W6" s="14"/>
      <c r="X6" s="14"/>
      <c r="Y6" s="14"/>
      <c r="Z6" s="14"/>
    </row>
    <row r="7">
      <c r="A7" s="16" t="s">
        <v>299</v>
      </c>
      <c r="B7" s="15">
        <f t="array" ref="B7">SUMPRODUCT((COUNTIFS(Transactions!$C$2:$C$200, UNIQUE(TRIM(Transactions!$C$2:$C$200)), Transactions!$P$2:$P$200, "Active")&gt;0) * (COUNTIFS(Transactions!$C$2:$C$200, UNIQUE(TRIM(Transactions!$C$2:$C$200)), Transactions!$P$2:$P$200, "Cancelled") + COUNTIFS(Transactions!$C$2:$C$200, UNIQUE(TRIM(Transactions!$C$2:$C$200)), Transactions!$P$2:$P$200, "Churned")&gt;0))</f>
        <v>27</v>
      </c>
      <c r="C7" s="14"/>
      <c r="D7" s="14"/>
      <c r="E7" s="14"/>
      <c r="F7" s="14"/>
      <c r="G7" s="14"/>
      <c r="H7" s="14"/>
      <c r="I7" s="14"/>
      <c r="J7" s="14"/>
      <c r="K7" s="14"/>
      <c r="L7" s="14"/>
      <c r="M7" s="14"/>
      <c r="N7" s="14"/>
      <c r="O7" s="14"/>
      <c r="P7" s="14"/>
      <c r="Q7" s="14"/>
      <c r="R7" s="14"/>
      <c r="S7" s="14"/>
      <c r="T7" s="14"/>
      <c r="U7" s="14"/>
      <c r="V7" s="14"/>
      <c r="W7" s="14"/>
      <c r="X7" s="14"/>
      <c r="Y7" s="14"/>
      <c r="Z7" s="14"/>
    </row>
    <row r="8">
      <c r="A8" s="15"/>
      <c r="B8" s="16"/>
      <c r="C8" s="14"/>
      <c r="D8" s="14"/>
      <c r="E8" s="14"/>
      <c r="F8" s="14"/>
      <c r="G8" s="14"/>
      <c r="H8" s="14"/>
      <c r="I8" s="14"/>
      <c r="J8" s="14"/>
      <c r="K8" s="14"/>
      <c r="L8" s="14"/>
      <c r="M8" s="14"/>
      <c r="N8" s="14"/>
      <c r="O8" s="14"/>
      <c r="P8" s="14"/>
      <c r="Q8" s="14"/>
      <c r="R8" s="14"/>
      <c r="S8" s="14"/>
      <c r="T8" s="14"/>
      <c r="U8" s="14"/>
      <c r="V8" s="14"/>
      <c r="W8" s="14"/>
      <c r="X8" s="14"/>
      <c r="Y8" s="14"/>
      <c r="Z8" s="14"/>
    </row>
    <row r="9">
      <c r="A9" s="15"/>
      <c r="B9" s="16"/>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c r="E2" s="19">
        <f t="array" ref="E2:E1000">IF(B2:B1000="",, B2:B1000 / C2:C1000)</f>
        <v>6155.007714</v>
      </c>
    </row>
    <row r="3">
      <c r="E3" s="19">
        <v>15000.566272400001</v>
      </c>
    </row>
    <row r="4">
      <c r="E4" s="19">
        <v>4207.4119972222215</v>
      </c>
    </row>
    <row r="5">
      <c r="E5" s="19">
        <v>7227.978213103447</v>
      </c>
    </row>
    <row r="6">
      <c r="E6" s="19">
        <v>8263.729903592228</v>
      </c>
    </row>
    <row r="7">
      <c r="E7" s="19"/>
    </row>
    <row r="8">
      <c r="E8" s="19"/>
    </row>
    <row r="9">
      <c r="E9" s="19"/>
    </row>
    <row r="10">
      <c r="E10" s="19"/>
    </row>
    <row r="11">
      <c r="E11" s="19"/>
    </row>
    <row r="12">
      <c r="E12" s="19"/>
    </row>
    <row r="13">
      <c r="E13" s="19"/>
    </row>
    <row r="14">
      <c r="E14" s="19"/>
    </row>
    <row r="15">
      <c r="E15" s="19"/>
    </row>
    <row r="16">
      <c r="E16" s="19"/>
    </row>
    <row r="17">
      <c r="E17" s="19"/>
    </row>
    <row r="18">
      <c r="E18" s="19"/>
    </row>
    <row r="19">
      <c r="E19" s="19"/>
    </row>
    <row r="20">
      <c r="E20" s="19"/>
    </row>
    <row r="21">
      <c r="E21" s="19"/>
    </row>
    <row r="22">
      <c r="E22" s="19"/>
    </row>
    <row r="23">
      <c r="E23" s="19"/>
    </row>
    <row r="24">
      <c r="E24" s="19"/>
    </row>
    <row r="25">
      <c r="E25" s="19"/>
    </row>
    <row r="26">
      <c r="E26" s="19"/>
    </row>
    <row r="27">
      <c r="E27" s="19"/>
    </row>
    <row r="28">
      <c r="E28" s="19"/>
    </row>
    <row r="29">
      <c r="E29" s="19"/>
    </row>
    <row r="30">
      <c r="E30" s="19"/>
    </row>
    <row r="31">
      <c r="E31" s="19"/>
    </row>
    <row r="32">
      <c r="E32" s="19"/>
    </row>
    <row r="33">
      <c r="E33" s="19"/>
    </row>
    <row r="34">
      <c r="E34" s="19"/>
    </row>
    <row r="35">
      <c r="E35" s="19"/>
    </row>
    <row r="36">
      <c r="E36" s="19"/>
    </row>
    <row r="37">
      <c r="E37" s="19"/>
    </row>
    <row r="38">
      <c r="E38" s="19"/>
    </row>
    <row r="39">
      <c r="E39" s="19"/>
    </row>
    <row r="40">
      <c r="E40" s="19"/>
    </row>
    <row r="41">
      <c r="E41" s="19"/>
    </row>
    <row r="42">
      <c r="E42" s="19"/>
    </row>
    <row r="43">
      <c r="E43" s="19"/>
    </row>
    <row r="44">
      <c r="E44" s="19"/>
    </row>
    <row r="45">
      <c r="E45" s="19"/>
    </row>
    <row r="46">
      <c r="E46" s="19"/>
    </row>
    <row r="47">
      <c r="E47" s="19"/>
    </row>
    <row r="48">
      <c r="E48" s="19"/>
    </row>
    <row r="49">
      <c r="E49" s="19"/>
    </row>
    <row r="50">
      <c r="E50" s="19"/>
    </row>
    <row r="51">
      <c r="E51" s="19"/>
    </row>
    <row r="52">
      <c r="E52" s="19"/>
    </row>
    <row r="53">
      <c r="E53" s="19"/>
    </row>
    <row r="54">
      <c r="E54" s="19"/>
    </row>
    <row r="55">
      <c r="E55" s="19"/>
    </row>
    <row r="56">
      <c r="E56" s="19"/>
    </row>
    <row r="57">
      <c r="E57" s="19"/>
    </row>
    <row r="58">
      <c r="E58" s="19"/>
    </row>
    <row r="59">
      <c r="E59" s="19"/>
    </row>
    <row r="60">
      <c r="E60" s="19"/>
    </row>
    <row r="61">
      <c r="E61" s="19"/>
    </row>
    <row r="62">
      <c r="E62" s="19"/>
    </row>
    <row r="63">
      <c r="E63" s="19"/>
    </row>
    <row r="64">
      <c r="E64" s="19"/>
    </row>
    <row r="65">
      <c r="E65" s="19"/>
    </row>
    <row r="66">
      <c r="E66" s="19"/>
    </row>
    <row r="67">
      <c r="E67" s="19"/>
    </row>
    <row r="68">
      <c r="E68" s="19"/>
    </row>
    <row r="69">
      <c r="E69" s="19"/>
    </row>
    <row r="70">
      <c r="E70" s="19"/>
    </row>
    <row r="71">
      <c r="E71" s="19"/>
    </row>
    <row r="72">
      <c r="E72" s="19"/>
    </row>
    <row r="73">
      <c r="E73" s="19"/>
    </row>
    <row r="74">
      <c r="E74" s="19"/>
    </row>
    <row r="75">
      <c r="E75" s="19"/>
    </row>
    <row r="76">
      <c r="E76" s="19"/>
    </row>
    <row r="77">
      <c r="E77" s="19"/>
    </row>
    <row r="78">
      <c r="E78" s="19"/>
    </row>
    <row r="79">
      <c r="E79" s="19"/>
    </row>
    <row r="80">
      <c r="E80" s="19"/>
    </row>
    <row r="81">
      <c r="E81" s="19"/>
    </row>
    <row r="82">
      <c r="E82" s="19"/>
    </row>
    <row r="83">
      <c r="E83" s="19"/>
    </row>
    <row r="84">
      <c r="E84" s="19"/>
    </row>
    <row r="85">
      <c r="E85" s="19"/>
    </row>
    <row r="86">
      <c r="E86" s="19"/>
    </row>
    <row r="87">
      <c r="E87" s="19"/>
    </row>
    <row r="88">
      <c r="E88" s="19"/>
    </row>
    <row r="89">
      <c r="E89" s="19"/>
    </row>
    <row r="90">
      <c r="E90" s="19"/>
    </row>
    <row r="91">
      <c r="E91" s="19"/>
    </row>
    <row r="92">
      <c r="E92" s="19"/>
    </row>
    <row r="93">
      <c r="E93" s="19"/>
    </row>
    <row r="94">
      <c r="E94" s="19"/>
    </row>
    <row r="95">
      <c r="E95" s="19"/>
    </row>
    <row r="96">
      <c r="E96" s="19"/>
    </row>
    <row r="97">
      <c r="E97" s="19"/>
    </row>
    <row r="98">
      <c r="E98" s="19"/>
    </row>
    <row r="99">
      <c r="E99" s="19"/>
    </row>
    <row r="100">
      <c r="E100" s="19"/>
    </row>
    <row r="101">
      <c r="E101" s="19"/>
    </row>
    <row r="102">
      <c r="E102" s="19"/>
    </row>
    <row r="103">
      <c r="E103" s="19"/>
    </row>
    <row r="104">
      <c r="E104" s="19"/>
    </row>
    <row r="105">
      <c r="E105" s="19"/>
    </row>
    <row r="106">
      <c r="E106" s="19"/>
    </row>
    <row r="107">
      <c r="E107" s="19"/>
    </row>
    <row r="108">
      <c r="E108" s="19"/>
    </row>
    <row r="109">
      <c r="E109" s="19"/>
    </row>
    <row r="110">
      <c r="E110" s="19"/>
    </row>
    <row r="111">
      <c r="E111" s="19"/>
    </row>
    <row r="112">
      <c r="E112" s="19"/>
    </row>
    <row r="113">
      <c r="E113" s="19"/>
    </row>
    <row r="114">
      <c r="E114" s="19"/>
    </row>
    <row r="115">
      <c r="E115" s="19"/>
    </row>
    <row r="116">
      <c r="E116" s="19"/>
    </row>
    <row r="117">
      <c r="E117" s="19"/>
    </row>
    <row r="118">
      <c r="E118" s="19"/>
    </row>
    <row r="119">
      <c r="E119" s="19"/>
    </row>
    <row r="120">
      <c r="E120" s="19"/>
    </row>
    <row r="121">
      <c r="E121" s="19"/>
    </row>
    <row r="122">
      <c r="E122" s="19"/>
    </row>
    <row r="123">
      <c r="E123" s="19"/>
    </row>
    <row r="124">
      <c r="E124" s="19"/>
    </row>
    <row r="125">
      <c r="E125" s="19"/>
    </row>
    <row r="126">
      <c r="E126" s="19"/>
    </row>
    <row r="127">
      <c r="E127" s="19"/>
    </row>
    <row r="128">
      <c r="E128" s="19"/>
    </row>
    <row r="129">
      <c r="E129" s="19"/>
    </row>
    <row r="130">
      <c r="E130" s="19"/>
    </row>
    <row r="131">
      <c r="E131" s="19"/>
    </row>
    <row r="132">
      <c r="E132" s="19"/>
    </row>
    <row r="133">
      <c r="E133" s="19"/>
    </row>
    <row r="134">
      <c r="E134" s="19"/>
    </row>
    <row r="135">
      <c r="E135" s="19"/>
    </row>
    <row r="136">
      <c r="E136" s="19"/>
    </row>
    <row r="137">
      <c r="E137" s="19"/>
    </row>
    <row r="138">
      <c r="E138" s="19"/>
    </row>
    <row r="139">
      <c r="E139" s="19"/>
    </row>
    <row r="140">
      <c r="E140" s="19"/>
    </row>
    <row r="141">
      <c r="E141" s="19"/>
    </row>
    <row r="142">
      <c r="E142" s="19"/>
    </row>
    <row r="143">
      <c r="E143" s="19"/>
    </row>
    <row r="144">
      <c r="E144" s="19"/>
    </row>
    <row r="145">
      <c r="E145" s="19"/>
    </row>
    <row r="146">
      <c r="E146" s="19"/>
    </row>
    <row r="147">
      <c r="E147" s="19"/>
    </row>
    <row r="148">
      <c r="E148" s="19"/>
    </row>
    <row r="149">
      <c r="E149" s="19"/>
    </row>
    <row r="150">
      <c r="E150" s="19"/>
    </row>
    <row r="151">
      <c r="E151" s="19"/>
    </row>
    <row r="152">
      <c r="E152" s="19"/>
    </row>
    <row r="153">
      <c r="E153" s="19"/>
    </row>
    <row r="154">
      <c r="E154" s="19"/>
    </row>
    <row r="155">
      <c r="E155" s="19"/>
    </row>
    <row r="156">
      <c r="E156" s="19"/>
    </row>
    <row r="157">
      <c r="E157" s="19"/>
    </row>
    <row r="158">
      <c r="E158" s="19"/>
    </row>
    <row r="159">
      <c r="E159" s="19"/>
    </row>
    <row r="160">
      <c r="E160" s="19"/>
    </row>
    <row r="161">
      <c r="E161" s="19"/>
    </row>
    <row r="162">
      <c r="E162" s="19"/>
    </row>
    <row r="163">
      <c r="E163" s="19"/>
    </row>
    <row r="164">
      <c r="E164" s="19"/>
    </row>
    <row r="165">
      <c r="E165" s="19"/>
    </row>
    <row r="166">
      <c r="E166" s="19"/>
    </row>
    <row r="167">
      <c r="E167" s="19"/>
    </row>
    <row r="168">
      <c r="E168" s="19"/>
    </row>
    <row r="169">
      <c r="E169" s="19"/>
    </row>
    <row r="170">
      <c r="E170" s="19"/>
    </row>
    <row r="171">
      <c r="E171" s="19"/>
    </row>
    <row r="172">
      <c r="E172" s="19"/>
    </row>
    <row r="173">
      <c r="E173" s="19"/>
    </row>
    <row r="174">
      <c r="E174" s="19"/>
    </row>
    <row r="175">
      <c r="E175" s="19"/>
    </row>
    <row r="176">
      <c r="E176" s="19"/>
    </row>
    <row r="177">
      <c r="E177" s="19"/>
    </row>
    <row r="178">
      <c r="E178" s="19"/>
    </row>
    <row r="179">
      <c r="E179" s="19"/>
    </row>
    <row r="180">
      <c r="E180" s="19"/>
    </row>
    <row r="181">
      <c r="E181" s="19"/>
    </row>
    <row r="182">
      <c r="E182" s="19"/>
    </row>
    <row r="183">
      <c r="E183" s="19"/>
    </row>
    <row r="184">
      <c r="E184" s="19"/>
    </row>
    <row r="185">
      <c r="E185" s="19"/>
    </row>
    <row r="186">
      <c r="E186" s="19"/>
    </row>
    <row r="187">
      <c r="E187" s="19"/>
    </row>
    <row r="188">
      <c r="E188" s="19"/>
    </row>
    <row r="189">
      <c r="E189" s="19"/>
    </row>
    <row r="190">
      <c r="E190" s="19"/>
    </row>
    <row r="191">
      <c r="E191" s="19"/>
    </row>
    <row r="192">
      <c r="E192" s="19"/>
    </row>
    <row r="193">
      <c r="E193" s="19"/>
    </row>
    <row r="194">
      <c r="E194" s="19"/>
    </row>
    <row r="195">
      <c r="E195" s="19"/>
    </row>
    <row r="196">
      <c r="E196" s="19"/>
    </row>
    <row r="197">
      <c r="E197" s="19"/>
    </row>
    <row r="198">
      <c r="E198" s="19"/>
    </row>
    <row r="199">
      <c r="E199" s="19"/>
    </row>
    <row r="200">
      <c r="E200" s="19"/>
    </row>
    <row r="201">
      <c r="E201" s="19"/>
    </row>
    <row r="202">
      <c r="E202" s="19"/>
    </row>
    <row r="203">
      <c r="E203" s="19"/>
    </row>
    <row r="204">
      <c r="E204" s="19"/>
    </row>
    <row r="205">
      <c r="E205" s="19"/>
    </row>
    <row r="206">
      <c r="E206" s="19"/>
    </row>
    <row r="207">
      <c r="E207" s="19"/>
    </row>
    <row r="208">
      <c r="E208" s="19"/>
    </row>
    <row r="209">
      <c r="E209" s="19"/>
    </row>
    <row r="210">
      <c r="E210" s="19"/>
    </row>
    <row r="211">
      <c r="E211" s="19"/>
    </row>
    <row r="212">
      <c r="E212" s="19"/>
    </row>
    <row r="213">
      <c r="E213" s="19"/>
    </row>
    <row r="214">
      <c r="E214" s="19"/>
    </row>
    <row r="215">
      <c r="E215" s="19"/>
    </row>
    <row r="216">
      <c r="E216" s="19"/>
    </row>
    <row r="217">
      <c r="E217" s="19"/>
    </row>
    <row r="218">
      <c r="E218" s="19"/>
    </row>
    <row r="219">
      <c r="E219" s="19"/>
    </row>
    <row r="220">
      <c r="E220" s="19"/>
    </row>
    <row r="221">
      <c r="E221" s="19"/>
    </row>
    <row r="222">
      <c r="E222" s="19"/>
    </row>
    <row r="223">
      <c r="E223" s="19"/>
    </row>
    <row r="224">
      <c r="E224" s="19"/>
    </row>
    <row r="225">
      <c r="E225" s="19"/>
    </row>
    <row r="226">
      <c r="E226" s="19"/>
    </row>
    <row r="227">
      <c r="E227" s="19"/>
    </row>
    <row r="228">
      <c r="E228" s="19"/>
    </row>
    <row r="229">
      <c r="E229" s="19"/>
    </row>
    <row r="230">
      <c r="E230" s="19"/>
    </row>
    <row r="231">
      <c r="E231" s="19"/>
    </row>
    <row r="232">
      <c r="E232" s="19"/>
    </row>
    <row r="233">
      <c r="E233" s="19"/>
    </row>
    <row r="234">
      <c r="E234" s="19"/>
    </row>
    <row r="235">
      <c r="E235" s="19"/>
    </row>
    <row r="236">
      <c r="E236" s="19"/>
    </row>
    <row r="237">
      <c r="E237" s="19"/>
    </row>
    <row r="238">
      <c r="E238" s="19"/>
    </row>
    <row r="239">
      <c r="E239" s="19"/>
    </row>
    <row r="240">
      <c r="E240" s="19"/>
    </row>
    <row r="241">
      <c r="E241" s="19"/>
    </row>
    <row r="242">
      <c r="E242" s="19"/>
    </row>
    <row r="243">
      <c r="E243" s="19"/>
    </row>
    <row r="244">
      <c r="E244" s="19"/>
    </row>
    <row r="245">
      <c r="E245" s="19"/>
    </row>
    <row r="246">
      <c r="E246" s="19"/>
    </row>
    <row r="247">
      <c r="E247" s="19"/>
    </row>
    <row r="248">
      <c r="E248" s="19"/>
    </row>
    <row r="249">
      <c r="E249" s="19"/>
    </row>
    <row r="250">
      <c r="E250" s="19"/>
    </row>
    <row r="251">
      <c r="E251" s="19"/>
    </row>
    <row r="252">
      <c r="E252" s="19"/>
    </row>
    <row r="253">
      <c r="E253" s="19"/>
    </row>
    <row r="254">
      <c r="E254" s="19"/>
    </row>
    <row r="255">
      <c r="E255" s="19"/>
    </row>
    <row r="256">
      <c r="E256" s="19"/>
    </row>
    <row r="257">
      <c r="E257" s="19"/>
    </row>
    <row r="258">
      <c r="E258" s="19"/>
    </row>
    <row r="259">
      <c r="E259" s="19"/>
    </row>
    <row r="260">
      <c r="E260" s="19"/>
    </row>
    <row r="261">
      <c r="E261" s="19"/>
    </row>
    <row r="262">
      <c r="E262" s="19"/>
    </row>
    <row r="263">
      <c r="E263" s="19"/>
    </row>
    <row r="264">
      <c r="E264" s="19"/>
    </row>
    <row r="265">
      <c r="E265" s="19"/>
    </row>
    <row r="266">
      <c r="E266" s="19"/>
    </row>
    <row r="267">
      <c r="E267" s="19"/>
    </row>
    <row r="268">
      <c r="E268" s="19"/>
    </row>
    <row r="269">
      <c r="E269" s="19"/>
    </row>
    <row r="270">
      <c r="E270" s="19"/>
    </row>
    <row r="271">
      <c r="E271" s="19"/>
    </row>
    <row r="272">
      <c r="E272" s="19"/>
    </row>
    <row r="273">
      <c r="E273" s="19"/>
    </row>
    <row r="274">
      <c r="E274" s="19"/>
    </row>
    <row r="275">
      <c r="E275" s="19"/>
    </row>
    <row r="276">
      <c r="E276" s="19"/>
    </row>
    <row r="277">
      <c r="E277" s="19"/>
    </row>
    <row r="278">
      <c r="E278" s="19"/>
    </row>
    <row r="279">
      <c r="E279" s="19"/>
    </row>
    <row r="280">
      <c r="E280" s="19"/>
    </row>
    <row r="281">
      <c r="E281" s="19"/>
    </row>
    <row r="282">
      <c r="E282" s="19"/>
    </row>
    <row r="283">
      <c r="E283" s="19"/>
    </row>
    <row r="284">
      <c r="E284" s="19"/>
    </row>
    <row r="285">
      <c r="E285" s="19"/>
    </row>
    <row r="286">
      <c r="E286" s="19"/>
    </row>
    <row r="287">
      <c r="E287" s="19"/>
    </row>
    <row r="288">
      <c r="E288" s="19"/>
    </row>
    <row r="289">
      <c r="E289" s="19"/>
    </row>
    <row r="290">
      <c r="E290" s="19"/>
    </row>
    <row r="291">
      <c r="E291" s="19"/>
    </row>
    <row r="292">
      <c r="E292" s="19"/>
    </row>
    <row r="293">
      <c r="E293" s="19"/>
    </row>
    <row r="294">
      <c r="E294" s="19"/>
    </row>
    <row r="295">
      <c r="E295" s="19"/>
    </row>
    <row r="296">
      <c r="E296" s="19"/>
    </row>
    <row r="297">
      <c r="E297" s="19"/>
    </row>
    <row r="298">
      <c r="E298" s="19"/>
    </row>
    <row r="299">
      <c r="E299" s="19"/>
    </row>
    <row r="300">
      <c r="E300" s="19"/>
    </row>
    <row r="301">
      <c r="E301" s="19"/>
    </row>
    <row r="302">
      <c r="E302" s="19"/>
    </row>
    <row r="303">
      <c r="E303" s="19"/>
    </row>
    <row r="304">
      <c r="E304" s="19"/>
    </row>
    <row r="305">
      <c r="E305" s="19"/>
    </row>
    <row r="306">
      <c r="E306" s="19"/>
    </row>
    <row r="307">
      <c r="E307" s="19"/>
    </row>
    <row r="308">
      <c r="E308" s="19"/>
    </row>
    <row r="309">
      <c r="E309" s="19"/>
    </row>
    <row r="310">
      <c r="E310" s="19"/>
    </row>
    <row r="311">
      <c r="E311" s="19"/>
    </row>
    <row r="312">
      <c r="E312" s="19"/>
    </row>
    <row r="313">
      <c r="E313" s="19"/>
    </row>
    <row r="314">
      <c r="E314" s="19"/>
    </row>
    <row r="315">
      <c r="E315" s="19"/>
    </row>
    <row r="316">
      <c r="E316" s="19"/>
    </row>
    <row r="317">
      <c r="E317" s="19"/>
    </row>
    <row r="318">
      <c r="E318" s="19"/>
    </row>
    <row r="319">
      <c r="E319" s="19"/>
    </row>
    <row r="320">
      <c r="E320" s="19"/>
    </row>
    <row r="321">
      <c r="E321" s="19"/>
    </row>
    <row r="322">
      <c r="E322" s="19"/>
    </row>
    <row r="323">
      <c r="E323" s="19"/>
    </row>
    <row r="324">
      <c r="E324" s="19"/>
    </row>
    <row r="325">
      <c r="E325" s="19"/>
    </row>
    <row r="326">
      <c r="E326" s="19"/>
    </row>
    <row r="327">
      <c r="E327" s="19"/>
    </row>
    <row r="328">
      <c r="E328" s="19"/>
    </row>
    <row r="329">
      <c r="E329" s="19"/>
    </row>
    <row r="330">
      <c r="E330" s="19"/>
    </row>
    <row r="331">
      <c r="E331" s="19"/>
    </row>
    <row r="332">
      <c r="E332" s="19"/>
    </row>
    <row r="333">
      <c r="E333" s="19"/>
    </row>
    <row r="334">
      <c r="E334" s="19"/>
    </row>
    <row r="335">
      <c r="E335" s="19"/>
    </row>
    <row r="336">
      <c r="E336" s="19"/>
    </row>
    <row r="337">
      <c r="E337" s="19"/>
    </row>
    <row r="338">
      <c r="E338" s="19"/>
    </row>
    <row r="339">
      <c r="E339" s="19"/>
    </row>
    <row r="340">
      <c r="E340" s="19"/>
    </row>
    <row r="341">
      <c r="E341" s="19"/>
    </row>
    <row r="342">
      <c r="E342" s="19"/>
    </row>
    <row r="343">
      <c r="E343" s="19"/>
    </row>
    <row r="344">
      <c r="E344" s="19"/>
    </row>
    <row r="345">
      <c r="E345" s="19"/>
    </row>
    <row r="346">
      <c r="E346" s="19"/>
    </row>
    <row r="347">
      <c r="E347" s="19"/>
    </row>
    <row r="348">
      <c r="E348" s="19"/>
    </row>
    <row r="349">
      <c r="E349" s="19"/>
    </row>
    <row r="350">
      <c r="E350" s="19"/>
    </row>
    <row r="351">
      <c r="E351" s="19"/>
    </row>
    <row r="352">
      <c r="E352" s="19"/>
    </row>
    <row r="353">
      <c r="E353" s="19"/>
    </row>
    <row r="354">
      <c r="E354" s="19"/>
    </row>
    <row r="355">
      <c r="E355" s="19"/>
    </row>
    <row r="356">
      <c r="E356" s="19"/>
    </row>
    <row r="357">
      <c r="E357" s="19"/>
    </row>
    <row r="358">
      <c r="E358" s="19"/>
    </row>
    <row r="359">
      <c r="E359" s="19"/>
    </row>
    <row r="360">
      <c r="E360" s="19"/>
    </row>
    <row r="361">
      <c r="E361" s="19"/>
    </row>
    <row r="362">
      <c r="E362" s="19"/>
    </row>
    <row r="363">
      <c r="E363" s="19"/>
    </row>
    <row r="364">
      <c r="E364" s="19"/>
    </row>
    <row r="365">
      <c r="E365" s="19"/>
    </row>
    <row r="366">
      <c r="E366" s="19"/>
    </row>
    <row r="367">
      <c r="E367" s="19"/>
    </row>
    <row r="368">
      <c r="E368" s="19"/>
    </row>
    <row r="369">
      <c r="E369" s="19"/>
    </row>
    <row r="370">
      <c r="E370" s="19"/>
    </row>
    <row r="371">
      <c r="E371" s="19"/>
    </row>
    <row r="372">
      <c r="E372" s="19"/>
    </row>
    <row r="373">
      <c r="E373" s="19"/>
    </row>
    <row r="374">
      <c r="E374" s="19"/>
    </row>
    <row r="375">
      <c r="E375" s="19"/>
    </row>
    <row r="376">
      <c r="E376" s="19"/>
    </row>
    <row r="377">
      <c r="E377" s="19"/>
    </row>
    <row r="378">
      <c r="E378" s="19"/>
    </row>
    <row r="379">
      <c r="E379" s="19"/>
    </row>
    <row r="380">
      <c r="E380" s="19"/>
    </row>
    <row r="381">
      <c r="E381" s="19"/>
    </row>
    <row r="382">
      <c r="E382" s="19"/>
    </row>
    <row r="383">
      <c r="E383" s="19"/>
    </row>
    <row r="384">
      <c r="E384" s="19"/>
    </row>
    <row r="385">
      <c r="E385" s="19"/>
    </row>
    <row r="386">
      <c r="E386" s="19"/>
    </row>
    <row r="387">
      <c r="E387" s="19"/>
    </row>
    <row r="388">
      <c r="E388" s="19"/>
    </row>
    <row r="389">
      <c r="E389" s="19"/>
    </row>
    <row r="390">
      <c r="E390" s="19"/>
    </row>
    <row r="391">
      <c r="E391" s="19"/>
    </row>
    <row r="392">
      <c r="E392" s="19"/>
    </row>
    <row r="393">
      <c r="E393" s="19"/>
    </row>
    <row r="394">
      <c r="E394" s="19"/>
    </row>
    <row r="395">
      <c r="E395" s="19"/>
    </row>
    <row r="396">
      <c r="E396" s="19"/>
    </row>
    <row r="397">
      <c r="E397" s="19"/>
    </row>
    <row r="398">
      <c r="E398" s="19"/>
    </row>
    <row r="399">
      <c r="E399" s="19"/>
    </row>
    <row r="400">
      <c r="E400" s="19"/>
    </row>
    <row r="401">
      <c r="E401" s="19"/>
    </row>
    <row r="402">
      <c r="E402" s="19"/>
    </row>
    <row r="403">
      <c r="E403" s="19"/>
    </row>
    <row r="404">
      <c r="E404" s="19"/>
    </row>
    <row r="405">
      <c r="E405" s="19"/>
    </row>
    <row r="406">
      <c r="E406" s="19"/>
    </row>
    <row r="407">
      <c r="E407" s="19"/>
    </row>
    <row r="408">
      <c r="E408" s="19"/>
    </row>
    <row r="409">
      <c r="E409" s="19"/>
    </row>
    <row r="410">
      <c r="E410" s="19"/>
    </row>
    <row r="411">
      <c r="E411" s="19"/>
    </row>
    <row r="412">
      <c r="E412" s="19"/>
    </row>
    <row r="413">
      <c r="E413" s="19"/>
    </row>
    <row r="414">
      <c r="E414" s="19"/>
    </row>
    <row r="415">
      <c r="E415" s="19"/>
    </row>
    <row r="416">
      <c r="E416" s="19"/>
    </row>
    <row r="417">
      <c r="E417" s="19"/>
    </row>
    <row r="418">
      <c r="E418" s="19"/>
    </row>
    <row r="419">
      <c r="E419" s="19"/>
    </row>
    <row r="420">
      <c r="E420" s="19"/>
    </row>
    <row r="421">
      <c r="E421" s="19"/>
    </row>
    <row r="422">
      <c r="E422" s="19"/>
    </row>
    <row r="423">
      <c r="E423" s="19"/>
    </row>
    <row r="424">
      <c r="E424" s="19"/>
    </row>
    <row r="425">
      <c r="E425" s="19"/>
    </row>
    <row r="426">
      <c r="E426" s="19"/>
    </row>
    <row r="427">
      <c r="E427" s="19"/>
    </row>
    <row r="428">
      <c r="E428" s="19"/>
    </row>
    <row r="429">
      <c r="E429" s="19"/>
    </row>
    <row r="430">
      <c r="E430" s="19"/>
    </row>
    <row r="431">
      <c r="E431" s="19"/>
    </row>
    <row r="432">
      <c r="E432" s="19"/>
    </row>
    <row r="433">
      <c r="E433" s="19"/>
    </row>
    <row r="434">
      <c r="E434" s="19"/>
    </row>
    <row r="435">
      <c r="E435" s="19"/>
    </row>
    <row r="436">
      <c r="E436" s="19"/>
    </row>
    <row r="437">
      <c r="E437" s="19"/>
    </row>
    <row r="438">
      <c r="E438" s="19"/>
    </row>
    <row r="439">
      <c r="E439" s="19"/>
    </row>
    <row r="440">
      <c r="E440" s="19"/>
    </row>
    <row r="441">
      <c r="E441" s="19"/>
    </row>
    <row r="442">
      <c r="E442" s="19"/>
    </row>
    <row r="443">
      <c r="E443" s="19"/>
    </row>
    <row r="444">
      <c r="E444" s="19"/>
    </row>
    <row r="445">
      <c r="E445" s="19"/>
    </row>
    <row r="446">
      <c r="E446" s="19"/>
    </row>
    <row r="447">
      <c r="E447" s="19"/>
    </row>
    <row r="448">
      <c r="E448" s="19"/>
    </row>
    <row r="449">
      <c r="E449" s="19"/>
    </row>
    <row r="450">
      <c r="E450" s="19"/>
    </row>
    <row r="451">
      <c r="E451" s="19"/>
    </row>
    <row r="452">
      <c r="E452" s="19"/>
    </row>
    <row r="453">
      <c r="E453" s="19"/>
    </row>
    <row r="454">
      <c r="E454" s="19"/>
    </row>
    <row r="455">
      <c r="E455" s="19"/>
    </row>
    <row r="456">
      <c r="E456" s="19"/>
    </row>
    <row r="457">
      <c r="E457" s="19"/>
    </row>
    <row r="458">
      <c r="E458" s="19"/>
    </row>
    <row r="459">
      <c r="E459" s="19"/>
    </row>
    <row r="460">
      <c r="E460" s="19"/>
    </row>
    <row r="461">
      <c r="E461" s="19"/>
    </row>
    <row r="462">
      <c r="E462" s="19"/>
    </row>
    <row r="463">
      <c r="E463" s="19"/>
    </row>
    <row r="464">
      <c r="E464" s="19"/>
    </row>
    <row r="465">
      <c r="E465" s="19"/>
    </row>
    <row r="466">
      <c r="E466" s="19"/>
    </row>
    <row r="467">
      <c r="E467" s="19"/>
    </row>
    <row r="468">
      <c r="E468" s="19"/>
    </row>
    <row r="469">
      <c r="E469" s="19"/>
    </row>
    <row r="470">
      <c r="E470" s="19"/>
    </row>
    <row r="471">
      <c r="E471" s="19"/>
    </row>
    <row r="472">
      <c r="E472" s="19"/>
    </row>
    <row r="473">
      <c r="E473" s="19"/>
    </row>
    <row r="474">
      <c r="E474" s="19"/>
    </row>
    <row r="475">
      <c r="E475" s="19"/>
    </row>
    <row r="476">
      <c r="E476" s="19"/>
    </row>
    <row r="477">
      <c r="E477" s="19"/>
    </row>
    <row r="478">
      <c r="E478" s="19"/>
    </row>
    <row r="479">
      <c r="E479" s="19"/>
    </row>
    <row r="480">
      <c r="E480" s="19"/>
    </row>
    <row r="481">
      <c r="E481" s="19"/>
    </row>
    <row r="482">
      <c r="E482" s="19"/>
    </row>
    <row r="483">
      <c r="E483" s="19"/>
    </row>
    <row r="484">
      <c r="E484" s="19"/>
    </row>
    <row r="485">
      <c r="E485" s="19"/>
    </row>
    <row r="486">
      <c r="E486" s="19"/>
    </row>
    <row r="487">
      <c r="E487" s="19"/>
    </row>
    <row r="488">
      <c r="E488" s="19"/>
    </row>
    <row r="489">
      <c r="E489" s="19"/>
    </row>
    <row r="490">
      <c r="E490" s="19"/>
    </row>
    <row r="491">
      <c r="E491" s="19"/>
    </row>
    <row r="492">
      <c r="E492" s="19"/>
    </row>
    <row r="493">
      <c r="E493" s="19"/>
    </row>
    <row r="494">
      <c r="E494" s="19"/>
    </row>
    <row r="495">
      <c r="E495" s="19"/>
    </row>
    <row r="496">
      <c r="E496" s="19"/>
    </row>
    <row r="497">
      <c r="E497" s="19"/>
    </row>
    <row r="498">
      <c r="E498" s="19"/>
    </row>
    <row r="499">
      <c r="E499" s="19"/>
    </row>
    <row r="500">
      <c r="E500" s="19"/>
    </row>
    <row r="501">
      <c r="E501" s="19"/>
    </row>
    <row r="502">
      <c r="E502" s="19"/>
    </row>
    <row r="503">
      <c r="E503" s="19"/>
    </row>
    <row r="504">
      <c r="E504" s="19"/>
    </row>
    <row r="505">
      <c r="E505" s="19"/>
    </row>
    <row r="506">
      <c r="E506" s="19"/>
    </row>
    <row r="507">
      <c r="E507" s="19"/>
    </row>
    <row r="508">
      <c r="E508" s="19"/>
    </row>
    <row r="509">
      <c r="E509" s="19"/>
    </row>
    <row r="510">
      <c r="E510" s="19"/>
    </row>
    <row r="511">
      <c r="E511" s="19"/>
    </row>
    <row r="512">
      <c r="E512" s="19"/>
    </row>
    <row r="513">
      <c r="E513" s="19"/>
    </row>
    <row r="514">
      <c r="E514" s="19"/>
    </row>
    <row r="515">
      <c r="E515" s="19"/>
    </row>
    <row r="516">
      <c r="E516" s="19"/>
    </row>
    <row r="517">
      <c r="E517" s="19"/>
    </row>
    <row r="518">
      <c r="E518" s="19"/>
    </row>
    <row r="519">
      <c r="E519" s="19"/>
    </row>
    <row r="520">
      <c r="E520" s="19"/>
    </row>
    <row r="521">
      <c r="E521" s="19"/>
    </row>
    <row r="522">
      <c r="E522" s="19"/>
    </row>
    <row r="523">
      <c r="E523" s="19"/>
    </row>
    <row r="524">
      <c r="E524" s="19"/>
    </row>
    <row r="525">
      <c r="E525" s="19"/>
    </row>
    <row r="526">
      <c r="E526" s="19"/>
    </row>
    <row r="527">
      <c r="E527" s="19"/>
    </row>
    <row r="528">
      <c r="E528" s="19"/>
    </row>
    <row r="529">
      <c r="E529" s="19"/>
    </row>
    <row r="530">
      <c r="E530" s="19"/>
    </row>
    <row r="531">
      <c r="E531" s="19"/>
    </row>
    <row r="532">
      <c r="E532" s="19"/>
    </row>
    <row r="533">
      <c r="E533" s="19"/>
    </row>
    <row r="534">
      <c r="E534" s="19"/>
    </row>
    <row r="535">
      <c r="E535" s="19"/>
    </row>
    <row r="536">
      <c r="E536" s="19"/>
    </row>
    <row r="537">
      <c r="E537" s="19"/>
    </row>
    <row r="538">
      <c r="E538" s="19"/>
    </row>
    <row r="539">
      <c r="E539" s="19"/>
    </row>
    <row r="540">
      <c r="E540" s="19"/>
    </row>
    <row r="541">
      <c r="E541" s="19"/>
    </row>
    <row r="542">
      <c r="E542" s="19"/>
    </row>
    <row r="543">
      <c r="E543" s="19"/>
    </row>
    <row r="544">
      <c r="E544" s="19"/>
    </row>
    <row r="545">
      <c r="E545" s="19"/>
    </row>
    <row r="546">
      <c r="E546" s="19"/>
    </row>
    <row r="547">
      <c r="E547" s="19"/>
    </row>
    <row r="548">
      <c r="E548" s="19"/>
    </row>
    <row r="549">
      <c r="E549" s="19"/>
    </row>
    <row r="550">
      <c r="E550" s="19"/>
    </row>
    <row r="551">
      <c r="E551" s="19"/>
    </row>
    <row r="552">
      <c r="E552" s="19"/>
    </row>
    <row r="553">
      <c r="E553" s="19"/>
    </row>
    <row r="554">
      <c r="E554" s="19"/>
    </row>
    <row r="555">
      <c r="E555" s="19"/>
    </row>
    <row r="556">
      <c r="E556" s="19"/>
    </row>
    <row r="557">
      <c r="E557" s="19"/>
    </row>
    <row r="558">
      <c r="E558" s="19"/>
    </row>
    <row r="559">
      <c r="E559" s="19"/>
    </row>
    <row r="560">
      <c r="E560" s="19"/>
    </row>
    <row r="561">
      <c r="E561" s="19"/>
    </row>
    <row r="562">
      <c r="E562" s="19"/>
    </row>
    <row r="563">
      <c r="E563" s="19"/>
    </row>
    <row r="564">
      <c r="E564" s="19"/>
    </row>
    <row r="565">
      <c r="E565" s="19"/>
    </row>
    <row r="566">
      <c r="E566" s="19"/>
    </row>
    <row r="567">
      <c r="E567" s="19"/>
    </row>
    <row r="568">
      <c r="E568" s="19"/>
    </row>
    <row r="569">
      <c r="E569" s="19"/>
    </row>
    <row r="570">
      <c r="E570" s="19"/>
    </row>
    <row r="571">
      <c r="E571" s="19"/>
    </row>
    <row r="572">
      <c r="E572" s="19"/>
    </row>
    <row r="573">
      <c r="E573" s="19"/>
    </row>
    <row r="574">
      <c r="E574" s="19"/>
    </row>
    <row r="575">
      <c r="E575" s="19"/>
    </row>
    <row r="576">
      <c r="E576" s="19"/>
    </row>
    <row r="577">
      <c r="E577" s="19"/>
    </row>
    <row r="578">
      <c r="E578" s="19"/>
    </row>
    <row r="579">
      <c r="E579" s="19"/>
    </row>
    <row r="580">
      <c r="E580" s="19"/>
    </row>
    <row r="581">
      <c r="E581" s="19"/>
    </row>
    <row r="582">
      <c r="E582" s="19"/>
    </row>
    <row r="583">
      <c r="E583" s="19"/>
    </row>
    <row r="584">
      <c r="E584" s="19"/>
    </row>
    <row r="585">
      <c r="E585" s="19"/>
    </row>
    <row r="586">
      <c r="E586" s="19"/>
    </row>
    <row r="587">
      <c r="E587" s="19"/>
    </row>
    <row r="588">
      <c r="E588" s="19"/>
    </row>
    <row r="589">
      <c r="E589" s="19"/>
    </row>
    <row r="590">
      <c r="E590" s="19"/>
    </row>
    <row r="591">
      <c r="E591" s="19"/>
    </row>
    <row r="592">
      <c r="E592" s="19"/>
    </row>
    <row r="593">
      <c r="E593" s="19"/>
    </row>
    <row r="594">
      <c r="E594" s="19"/>
    </row>
    <row r="595">
      <c r="E595" s="19"/>
    </row>
    <row r="596">
      <c r="E596" s="19"/>
    </row>
    <row r="597">
      <c r="E597" s="19"/>
    </row>
    <row r="598">
      <c r="E598" s="19"/>
    </row>
    <row r="599">
      <c r="E599" s="19"/>
    </row>
    <row r="600">
      <c r="E600" s="19"/>
    </row>
    <row r="601">
      <c r="E601" s="19"/>
    </row>
    <row r="602">
      <c r="E602" s="19"/>
    </row>
    <row r="603">
      <c r="E603" s="19"/>
    </row>
    <row r="604">
      <c r="E604" s="19"/>
    </row>
    <row r="605">
      <c r="E605" s="19"/>
    </row>
    <row r="606">
      <c r="E606" s="19"/>
    </row>
    <row r="607">
      <c r="E607" s="19"/>
    </row>
    <row r="608">
      <c r="E608" s="19"/>
    </row>
    <row r="609">
      <c r="E609" s="19"/>
    </row>
    <row r="610">
      <c r="E610" s="19"/>
    </row>
    <row r="611">
      <c r="E611" s="19"/>
    </row>
    <row r="612">
      <c r="E612" s="19"/>
    </row>
    <row r="613">
      <c r="E613" s="19"/>
    </row>
    <row r="614">
      <c r="E614" s="19"/>
    </row>
    <row r="615">
      <c r="E615" s="19"/>
    </row>
    <row r="616">
      <c r="E616" s="19"/>
    </row>
    <row r="617">
      <c r="E617" s="19"/>
    </row>
    <row r="618">
      <c r="E618" s="19"/>
    </row>
    <row r="619">
      <c r="E619" s="19"/>
    </row>
    <row r="620">
      <c r="E620" s="19"/>
    </row>
    <row r="621">
      <c r="E621" s="19"/>
    </row>
    <row r="622">
      <c r="E622" s="19"/>
    </row>
    <row r="623">
      <c r="E623" s="19"/>
    </row>
    <row r="624">
      <c r="E624" s="19"/>
    </row>
    <row r="625">
      <c r="E625" s="19"/>
    </row>
    <row r="626">
      <c r="E626" s="19"/>
    </row>
    <row r="627">
      <c r="E627" s="19"/>
    </row>
    <row r="628">
      <c r="E628" s="19"/>
    </row>
    <row r="629">
      <c r="E629" s="19"/>
    </row>
    <row r="630">
      <c r="E630" s="19"/>
    </row>
    <row r="631">
      <c r="E631" s="19"/>
    </row>
    <row r="632">
      <c r="E632" s="19"/>
    </row>
    <row r="633">
      <c r="E633" s="19"/>
    </row>
    <row r="634">
      <c r="E634" s="19"/>
    </row>
    <row r="635">
      <c r="E635" s="19"/>
    </row>
    <row r="636">
      <c r="E636" s="19"/>
    </row>
    <row r="637">
      <c r="E637" s="19"/>
    </row>
    <row r="638">
      <c r="E638" s="19"/>
    </row>
    <row r="639">
      <c r="E639" s="19"/>
    </row>
    <row r="640">
      <c r="E640" s="19"/>
    </row>
    <row r="641">
      <c r="E641" s="19"/>
    </row>
    <row r="642">
      <c r="E642" s="19"/>
    </row>
    <row r="643">
      <c r="E643" s="19"/>
    </row>
    <row r="644">
      <c r="E644" s="19"/>
    </row>
    <row r="645">
      <c r="E645" s="19"/>
    </row>
    <row r="646">
      <c r="E646" s="19"/>
    </row>
    <row r="647">
      <c r="E647" s="19"/>
    </row>
    <row r="648">
      <c r="E648" s="19"/>
    </row>
    <row r="649">
      <c r="E649" s="19"/>
    </row>
    <row r="650">
      <c r="E650" s="19"/>
    </row>
    <row r="651">
      <c r="E651" s="19"/>
    </row>
    <row r="652">
      <c r="E652" s="19"/>
    </row>
    <row r="653">
      <c r="E653" s="19"/>
    </row>
    <row r="654">
      <c r="E654" s="19"/>
    </row>
    <row r="655">
      <c r="E655" s="19"/>
    </row>
    <row r="656">
      <c r="E656" s="19"/>
    </row>
    <row r="657">
      <c r="E657" s="19"/>
    </row>
    <row r="658">
      <c r="E658" s="19"/>
    </row>
    <row r="659">
      <c r="E659" s="19"/>
    </row>
    <row r="660">
      <c r="E660" s="19"/>
    </row>
    <row r="661">
      <c r="E661" s="19"/>
    </row>
    <row r="662">
      <c r="E662" s="19"/>
    </row>
    <row r="663">
      <c r="E663" s="19"/>
    </row>
    <row r="664">
      <c r="E664" s="19"/>
    </row>
    <row r="665">
      <c r="E665" s="19"/>
    </row>
    <row r="666">
      <c r="E666" s="19"/>
    </row>
    <row r="667">
      <c r="E667" s="19"/>
    </row>
    <row r="668">
      <c r="E668" s="19"/>
    </row>
    <row r="669">
      <c r="E669" s="19"/>
    </row>
    <row r="670">
      <c r="E670" s="19"/>
    </row>
    <row r="671">
      <c r="E671" s="19"/>
    </row>
    <row r="672">
      <c r="E672" s="19"/>
    </row>
    <row r="673">
      <c r="E673" s="19"/>
    </row>
    <row r="674">
      <c r="E674" s="19"/>
    </row>
    <row r="675">
      <c r="E675" s="19"/>
    </row>
    <row r="676">
      <c r="E676" s="19"/>
    </row>
    <row r="677">
      <c r="E677" s="19"/>
    </row>
    <row r="678">
      <c r="E678" s="19"/>
    </row>
    <row r="679">
      <c r="E679" s="19"/>
    </row>
    <row r="680">
      <c r="E680" s="19"/>
    </row>
    <row r="681">
      <c r="E681" s="19"/>
    </row>
    <row r="682">
      <c r="E682" s="19"/>
    </row>
    <row r="683">
      <c r="E683" s="19"/>
    </row>
    <row r="684">
      <c r="E684" s="19"/>
    </row>
    <row r="685">
      <c r="E685" s="19"/>
    </row>
    <row r="686">
      <c r="E686" s="19"/>
    </row>
    <row r="687">
      <c r="E687" s="19"/>
    </row>
    <row r="688">
      <c r="E688" s="19"/>
    </row>
    <row r="689">
      <c r="E689" s="19"/>
    </row>
    <row r="690">
      <c r="E690" s="19"/>
    </row>
    <row r="691">
      <c r="E691" s="19"/>
    </row>
    <row r="692">
      <c r="E692" s="19"/>
    </row>
    <row r="693">
      <c r="E693" s="19"/>
    </row>
    <row r="694">
      <c r="E694" s="19"/>
    </row>
    <row r="695">
      <c r="E695" s="19"/>
    </row>
    <row r="696">
      <c r="E696" s="19"/>
    </row>
    <row r="697">
      <c r="E697" s="19"/>
    </row>
    <row r="698">
      <c r="E698" s="19"/>
    </row>
    <row r="699">
      <c r="E699" s="19"/>
    </row>
    <row r="700">
      <c r="E700" s="19"/>
    </row>
    <row r="701">
      <c r="E701" s="19"/>
    </row>
    <row r="702">
      <c r="E702" s="19"/>
    </row>
    <row r="703">
      <c r="E703" s="19"/>
    </row>
    <row r="704">
      <c r="E704" s="19"/>
    </row>
    <row r="705">
      <c r="E705" s="19"/>
    </row>
    <row r="706">
      <c r="E706" s="19"/>
    </row>
    <row r="707">
      <c r="E707" s="19"/>
    </row>
    <row r="708">
      <c r="E708" s="19"/>
    </row>
    <row r="709">
      <c r="E709" s="19"/>
    </row>
    <row r="710">
      <c r="E710" s="19"/>
    </row>
    <row r="711">
      <c r="E711" s="19"/>
    </row>
    <row r="712">
      <c r="E712" s="19"/>
    </row>
    <row r="713">
      <c r="E713" s="19"/>
    </row>
    <row r="714">
      <c r="E714" s="19"/>
    </row>
    <row r="715">
      <c r="E715" s="19"/>
    </row>
    <row r="716">
      <c r="E716" s="19"/>
    </row>
    <row r="717">
      <c r="E717" s="19"/>
    </row>
    <row r="718">
      <c r="E718" s="19"/>
    </row>
    <row r="719">
      <c r="E719" s="19"/>
    </row>
    <row r="720">
      <c r="E720" s="19"/>
    </row>
    <row r="721">
      <c r="E721" s="19"/>
    </row>
    <row r="722">
      <c r="E722" s="19"/>
    </row>
    <row r="723">
      <c r="E723" s="19"/>
    </row>
    <row r="724">
      <c r="E724" s="19"/>
    </row>
    <row r="725">
      <c r="E725" s="19"/>
    </row>
    <row r="726">
      <c r="E726" s="19"/>
    </row>
    <row r="727">
      <c r="E727" s="19"/>
    </row>
    <row r="728">
      <c r="E728" s="19"/>
    </row>
    <row r="729">
      <c r="E729" s="19"/>
    </row>
    <row r="730">
      <c r="E730" s="19"/>
    </row>
    <row r="731">
      <c r="E731" s="19"/>
    </row>
    <row r="732">
      <c r="E732" s="19"/>
    </row>
    <row r="733">
      <c r="E733" s="19"/>
    </row>
    <row r="734">
      <c r="E734" s="19"/>
    </row>
    <row r="735">
      <c r="E735" s="19"/>
    </row>
    <row r="736">
      <c r="E736" s="19"/>
    </row>
    <row r="737">
      <c r="E737" s="19"/>
    </row>
    <row r="738">
      <c r="E738" s="19"/>
    </row>
    <row r="739">
      <c r="E739" s="19"/>
    </row>
    <row r="740">
      <c r="E740" s="19"/>
    </row>
    <row r="741">
      <c r="E741" s="19"/>
    </row>
    <row r="742">
      <c r="E742" s="19"/>
    </row>
    <row r="743">
      <c r="E743" s="19"/>
    </row>
    <row r="744">
      <c r="E744" s="19"/>
    </row>
    <row r="745">
      <c r="E745" s="19"/>
    </row>
    <row r="746">
      <c r="E746" s="19"/>
    </row>
    <row r="747">
      <c r="E747" s="19"/>
    </row>
    <row r="748">
      <c r="E748" s="19"/>
    </row>
    <row r="749">
      <c r="E749" s="19"/>
    </row>
    <row r="750">
      <c r="E750" s="19"/>
    </row>
    <row r="751">
      <c r="E751" s="19"/>
    </row>
    <row r="752">
      <c r="E752" s="19"/>
    </row>
    <row r="753">
      <c r="E753" s="19"/>
    </row>
    <row r="754">
      <c r="E754" s="19"/>
    </row>
    <row r="755">
      <c r="E755" s="19"/>
    </row>
    <row r="756">
      <c r="E756" s="19"/>
    </row>
    <row r="757">
      <c r="E757" s="19"/>
    </row>
    <row r="758">
      <c r="E758" s="19"/>
    </row>
    <row r="759">
      <c r="E759" s="19"/>
    </row>
    <row r="760">
      <c r="E760" s="19"/>
    </row>
    <row r="761">
      <c r="E761" s="19"/>
    </row>
    <row r="762">
      <c r="E762" s="19"/>
    </row>
    <row r="763">
      <c r="E763" s="19"/>
    </row>
    <row r="764">
      <c r="E764" s="19"/>
    </row>
    <row r="765">
      <c r="E765" s="19"/>
    </row>
    <row r="766">
      <c r="E766" s="19"/>
    </row>
    <row r="767">
      <c r="E767" s="19"/>
    </row>
    <row r="768">
      <c r="E768" s="19"/>
    </row>
    <row r="769">
      <c r="E769" s="19"/>
    </row>
    <row r="770">
      <c r="E770" s="19"/>
    </row>
    <row r="771">
      <c r="E771" s="19"/>
    </row>
    <row r="772">
      <c r="E772" s="19"/>
    </row>
    <row r="773">
      <c r="E773" s="19"/>
    </row>
    <row r="774">
      <c r="E774" s="19"/>
    </row>
    <row r="775">
      <c r="E775" s="19"/>
    </row>
    <row r="776">
      <c r="E776" s="19"/>
    </row>
    <row r="777">
      <c r="E777" s="19"/>
    </row>
    <row r="778">
      <c r="E778" s="19"/>
    </row>
    <row r="779">
      <c r="E779" s="19"/>
    </row>
    <row r="780">
      <c r="E780" s="19"/>
    </row>
    <row r="781">
      <c r="E781" s="19"/>
    </row>
    <row r="782">
      <c r="E782" s="19"/>
    </row>
    <row r="783">
      <c r="E783" s="19"/>
    </row>
    <row r="784">
      <c r="E784" s="19"/>
    </row>
    <row r="785">
      <c r="E785" s="19"/>
    </row>
    <row r="786">
      <c r="E786" s="19"/>
    </row>
    <row r="787">
      <c r="E787" s="19"/>
    </row>
    <row r="788">
      <c r="E788" s="19"/>
    </row>
    <row r="789">
      <c r="E789" s="19"/>
    </row>
    <row r="790">
      <c r="E790" s="19"/>
    </row>
    <row r="791">
      <c r="E791" s="19"/>
    </row>
    <row r="792">
      <c r="E792" s="19"/>
    </row>
    <row r="793">
      <c r="E793" s="19"/>
    </row>
    <row r="794">
      <c r="E794" s="19"/>
    </row>
    <row r="795">
      <c r="E795" s="19"/>
    </row>
    <row r="796">
      <c r="E796" s="19"/>
    </row>
    <row r="797">
      <c r="E797" s="19"/>
    </row>
    <row r="798">
      <c r="E798" s="19"/>
    </row>
    <row r="799">
      <c r="E799" s="19"/>
    </row>
    <row r="800">
      <c r="E800" s="19"/>
    </row>
    <row r="801">
      <c r="E801" s="19"/>
    </row>
    <row r="802">
      <c r="E802" s="19"/>
    </row>
    <row r="803">
      <c r="E803" s="19"/>
    </row>
    <row r="804">
      <c r="E804" s="19"/>
    </row>
    <row r="805">
      <c r="E805" s="19"/>
    </row>
    <row r="806">
      <c r="E806" s="19"/>
    </row>
    <row r="807">
      <c r="E807" s="19"/>
    </row>
    <row r="808">
      <c r="E808" s="19"/>
    </row>
    <row r="809">
      <c r="E809" s="19"/>
    </row>
    <row r="810">
      <c r="E810" s="19"/>
    </row>
    <row r="811">
      <c r="E811" s="19"/>
    </row>
    <row r="812">
      <c r="E812" s="19"/>
    </row>
    <row r="813">
      <c r="E813" s="19"/>
    </row>
    <row r="814">
      <c r="E814" s="19"/>
    </row>
    <row r="815">
      <c r="E815" s="19"/>
    </row>
    <row r="816">
      <c r="E816" s="19"/>
    </row>
    <row r="817">
      <c r="E817" s="19"/>
    </row>
    <row r="818">
      <c r="E818" s="19"/>
    </row>
    <row r="819">
      <c r="E819" s="19"/>
    </row>
    <row r="820">
      <c r="E820" s="19"/>
    </row>
    <row r="821">
      <c r="E821" s="19"/>
    </row>
    <row r="822">
      <c r="E822" s="19"/>
    </row>
    <row r="823">
      <c r="E823" s="19"/>
    </row>
    <row r="824">
      <c r="E824" s="19"/>
    </row>
    <row r="825">
      <c r="E825" s="19"/>
    </row>
    <row r="826">
      <c r="E826" s="19"/>
    </row>
    <row r="827">
      <c r="E827" s="19"/>
    </row>
    <row r="828">
      <c r="E828" s="19"/>
    </row>
    <row r="829">
      <c r="E829" s="19"/>
    </row>
    <row r="830">
      <c r="E830" s="19"/>
    </row>
    <row r="831">
      <c r="E831" s="19"/>
    </row>
    <row r="832">
      <c r="E832" s="19"/>
    </row>
    <row r="833">
      <c r="E833" s="19"/>
    </row>
    <row r="834">
      <c r="E834" s="19"/>
    </row>
    <row r="835">
      <c r="E835" s="19"/>
    </row>
    <row r="836">
      <c r="E836" s="19"/>
    </row>
    <row r="837">
      <c r="E837" s="19"/>
    </row>
    <row r="838">
      <c r="E838" s="19"/>
    </row>
    <row r="839">
      <c r="E839" s="19"/>
    </row>
    <row r="840">
      <c r="E840" s="19"/>
    </row>
    <row r="841">
      <c r="E841" s="19"/>
    </row>
    <row r="842">
      <c r="E842" s="19"/>
    </row>
    <row r="843">
      <c r="E843" s="19"/>
    </row>
    <row r="844">
      <c r="E844" s="19"/>
    </row>
    <row r="845">
      <c r="E845" s="19"/>
    </row>
    <row r="846">
      <c r="E846" s="19"/>
    </row>
    <row r="847">
      <c r="E847" s="19"/>
    </row>
    <row r="848">
      <c r="E848" s="19"/>
    </row>
    <row r="849">
      <c r="E849" s="19"/>
    </row>
    <row r="850">
      <c r="E850" s="19"/>
    </row>
    <row r="851">
      <c r="E851" s="19"/>
    </row>
    <row r="852">
      <c r="E852" s="19"/>
    </row>
    <row r="853">
      <c r="E853" s="19"/>
    </row>
    <row r="854">
      <c r="E854" s="19"/>
    </row>
    <row r="855">
      <c r="E855" s="19"/>
    </row>
    <row r="856">
      <c r="E856" s="19"/>
    </row>
    <row r="857">
      <c r="E857" s="19"/>
    </row>
    <row r="858">
      <c r="E858" s="19"/>
    </row>
    <row r="859">
      <c r="E859" s="19"/>
    </row>
    <row r="860">
      <c r="E860" s="19"/>
    </row>
    <row r="861">
      <c r="E861" s="19"/>
    </row>
    <row r="862">
      <c r="E862" s="19"/>
    </row>
    <row r="863">
      <c r="E863" s="19"/>
    </row>
    <row r="864">
      <c r="E864" s="19"/>
    </row>
    <row r="865">
      <c r="E865" s="19"/>
    </row>
    <row r="866">
      <c r="E866" s="19"/>
    </row>
    <row r="867">
      <c r="E867" s="19"/>
    </row>
    <row r="868">
      <c r="E868" s="19"/>
    </row>
    <row r="869">
      <c r="E869" s="19"/>
    </row>
    <row r="870">
      <c r="E870" s="19"/>
    </row>
    <row r="871">
      <c r="E871" s="19"/>
    </row>
    <row r="872">
      <c r="E872" s="19"/>
    </row>
    <row r="873">
      <c r="E873" s="19"/>
    </row>
    <row r="874">
      <c r="E874" s="19"/>
    </row>
    <row r="875">
      <c r="E875" s="19"/>
    </row>
    <row r="876">
      <c r="E876" s="19"/>
    </row>
    <row r="877">
      <c r="E877" s="19"/>
    </row>
    <row r="878">
      <c r="E878" s="19"/>
    </row>
    <row r="879">
      <c r="E879" s="19"/>
    </row>
    <row r="880">
      <c r="E880" s="19"/>
    </row>
    <row r="881">
      <c r="E881" s="19"/>
    </row>
    <row r="882">
      <c r="E882" s="19"/>
    </row>
    <row r="883">
      <c r="E883" s="19"/>
    </row>
    <row r="884">
      <c r="E884" s="19"/>
    </row>
    <row r="885">
      <c r="E885" s="19"/>
    </row>
    <row r="886">
      <c r="E886" s="19"/>
    </row>
    <row r="887">
      <c r="E887" s="19"/>
    </row>
    <row r="888">
      <c r="E888" s="19"/>
    </row>
    <row r="889">
      <c r="E889" s="19"/>
    </row>
    <row r="890">
      <c r="E890" s="19"/>
    </row>
    <row r="891">
      <c r="E891" s="19"/>
    </row>
    <row r="892">
      <c r="E892" s="19"/>
    </row>
    <row r="893">
      <c r="E893" s="19"/>
    </row>
    <row r="894">
      <c r="E894" s="19"/>
    </row>
    <row r="895">
      <c r="E895" s="19"/>
    </row>
    <row r="896">
      <c r="E896" s="19"/>
    </row>
    <row r="897">
      <c r="E897" s="19"/>
    </row>
    <row r="898">
      <c r="E898" s="19"/>
    </row>
    <row r="899">
      <c r="E899" s="19"/>
    </row>
    <row r="900">
      <c r="E900" s="19"/>
    </row>
    <row r="901">
      <c r="E901" s="19"/>
    </row>
    <row r="902">
      <c r="E902" s="19"/>
    </row>
    <row r="903">
      <c r="E903" s="19"/>
    </row>
    <row r="904">
      <c r="E904" s="19"/>
    </row>
    <row r="905">
      <c r="E905" s="19"/>
    </row>
    <row r="906">
      <c r="E906" s="19"/>
    </row>
    <row r="907">
      <c r="E907" s="19"/>
    </row>
    <row r="908">
      <c r="E908" s="19"/>
    </row>
    <row r="909">
      <c r="E909" s="19"/>
    </row>
    <row r="910">
      <c r="E910" s="19"/>
    </row>
    <row r="911">
      <c r="E911" s="19"/>
    </row>
    <row r="912">
      <c r="E912" s="19"/>
    </row>
    <row r="913">
      <c r="E913" s="19"/>
    </row>
    <row r="914">
      <c r="E914" s="19"/>
    </row>
    <row r="915">
      <c r="E915" s="19"/>
    </row>
    <row r="916">
      <c r="E916" s="19"/>
    </row>
    <row r="917">
      <c r="E917" s="19"/>
    </row>
    <row r="918">
      <c r="E918" s="19"/>
    </row>
    <row r="919">
      <c r="E919" s="19"/>
    </row>
    <row r="920">
      <c r="E920" s="19"/>
    </row>
    <row r="921">
      <c r="E921" s="19"/>
    </row>
    <row r="922">
      <c r="E922" s="19"/>
    </row>
    <row r="923">
      <c r="E923" s="19"/>
    </row>
    <row r="924">
      <c r="E924" s="19"/>
    </row>
    <row r="925">
      <c r="E925" s="19"/>
    </row>
    <row r="926">
      <c r="E926" s="19"/>
    </row>
    <row r="927">
      <c r="E927" s="19"/>
    </row>
    <row r="928">
      <c r="E928" s="19"/>
    </row>
    <row r="929">
      <c r="E929" s="19"/>
    </row>
    <row r="930">
      <c r="E930" s="19"/>
    </row>
    <row r="931">
      <c r="E931" s="19"/>
    </row>
    <row r="932">
      <c r="E932" s="19"/>
    </row>
    <row r="933">
      <c r="E933" s="19"/>
    </row>
    <row r="934">
      <c r="E934" s="19"/>
    </row>
    <row r="935">
      <c r="E935" s="19"/>
    </row>
    <row r="936">
      <c r="E936" s="19"/>
    </row>
    <row r="937">
      <c r="E937" s="19"/>
    </row>
    <row r="938">
      <c r="E938" s="19"/>
    </row>
    <row r="939">
      <c r="E939" s="19"/>
    </row>
    <row r="940">
      <c r="E940" s="19"/>
    </row>
    <row r="941">
      <c r="E941" s="19"/>
    </row>
    <row r="942">
      <c r="E942" s="19"/>
    </row>
    <row r="943">
      <c r="E943" s="19"/>
    </row>
    <row r="944">
      <c r="E944" s="19"/>
    </row>
    <row r="945">
      <c r="E945" s="19"/>
    </row>
    <row r="946">
      <c r="E946" s="19"/>
    </row>
    <row r="947">
      <c r="E947" s="19"/>
    </row>
    <row r="948">
      <c r="E948" s="19"/>
    </row>
    <row r="949">
      <c r="E949" s="19"/>
    </row>
    <row r="950">
      <c r="E950" s="19"/>
    </row>
    <row r="951">
      <c r="E951" s="19"/>
    </row>
    <row r="952">
      <c r="E952" s="19"/>
    </row>
    <row r="953">
      <c r="E953" s="19"/>
    </row>
    <row r="954">
      <c r="E954" s="19"/>
    </row>
    <row r="955">
      <c r="E955" s="19"/>
    </row>
    <row r="956">
      <c r="E956" s="19"/>
    </row>
    <row r="957">
      <c r="E957" s="19"/>
    </row>
    <row r="958">
      <c r="E958" s="19"/>
    </row>
    <row r="959">
      <c r="E959" s="19"/>
    </row>
    <row r="960">
      <c r="E960" s="19"/>
    </row>
    <row r="961">
      <c r="E961" s="19"/>
    </row>
    <row r="962">
      <c r="E962" s="19"/>
    </row>
    <row r="963">
      <c r="E963" s="19"/>
    </row>
    <row r="964">
      <c r="E964" s="19"/>
    </row>
    <row r="965">
      <c r="E965" s="19"/>
    </row>
    <row r="966">
      <c r="E966" s="19"/>
    </row>
    <row r="967">
      <c r="E967" s="19"/>
    </row>
    <row r="968">
      <c r="E968" s="19"/>
    </row>
    <row r="969">
      <c r="E969" s="19"/>
    </row>
    <row r="970">
      <c r="E970" s="19"/>
    </row>
    <row r="971">
      <c r="E971" s="19"/>
    </row>
    <row r="972">
      <c r="E972" s="19"/>
    </row>
    <row r="973">
      <c r="E973" s="19"/>
    </row>
    <row r="974">
      <c r="E974" s="19"/>
    </row>
    <row r="975">
      <c r="E975" s="19"/>
    </row>
    <row r="976">
      <c r="E976" s="19"/>
    </row>
    <row r="977">
      <c r="E977" s="19"/>
    </row>
    <row r="978">
      <c r="E978" s="19"/>
    </row>
    <row r="979">
      <c r="E979" s="19"/>
    </row>
    <row r="980">
      <c r="E980" s="19"/>
    </row>
    <row r="981">
      <c r="E981" s="19"/>
    </row>
    <row r="982">
      <c r="E982" s="19"/>
    </row>
    <row r="983">
      <c r="E983" s="19"/>
    </row>
    <row r="984">
      <c r="E984" s="19"/>
    </row>
    <row r="985">
      <c r="E985" s="19"/>
    </row>
    <row r="986">
      <c r="E986" s="19"/>
    </row>
    <row r="987">
      <c r="E987" s="19"/>
    </row>
    <row r="988">
      <c r="E988" s="19"/>
    </row>
    <row r="989">
      <c r="E989" s="19"/>
    </row>
    <row r="990">
      <c r="E990" s="19"/>
    </row>
    <row r="991">
      <c r="E991" s="19"/>
    </row>
    <row r="992">
      <c r="E992" s="19"/>
    </row>
    <row r="993">
      <c r="E993" s="19"/>
    </row>
    <row r="994">
      <c r="E994" s="19"/>
    </row>
    <row r="995">
      <c r="E995" s="19"/>
    </row>
    <row r="996">
      <c r="E996" s="19"/>
    </row>
    <row r="997">
      <c r="E997" s="19"/>
    </row>
    <row r="998">
      <c r="E998" s="19"/>
    </row>
    <row r="999">
      <c r="E999" s="19"/>
    </row>
    <row r="1000">
      <c r="E1000" s="19"/>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 customWidth="1" min="3" max="3" width="17.25"/>
  </cols>
  <sheetData>
    <row r="1">
      <c r="A1" s="20" t="s">
        <v>304</v>
      </c>
      <c r="B1" s="20" t="s">
        <v>305</v>
      </c>
      <c r="C1" s="20" t="s">
        <v>306</v>
      </c>
      <c r="D1" s="20" t="s">
        <v>307</v>
      </c>
    </row>
    <row r="2">
      <c r="A2" s="21" t="s">
        <v>308</v>
      </c>
      <c r="B2" s="19">
        <f>SUMPRODUCT(
  (IFERROR(TEXT(Transactions!$B$2:$B$2000, "yyyy-mm"), RIGHT(Transactions!$B$2:$B$2000, 4)&amp;"-"&amp;MID(Transactions!$B$2:$B$2000, 4, 2)) = A2) * 
  (Transactions!$P$2:$P$2000 = "Active") * 
  (Transactions!$M$2:$M$2000 = "INR") * 
  Transactions!$T$2:$T$2000
)</f>
        <v>64215.244</v>
      </c>
      <c r="C2" s="19">
        <f>B2</f>
        <v>64215.244</v>
      </c>
      <c r="D2" s="22" t="s">
        <v>309</v>
      </c>
    </row>
    <row r="3">
      <c r="A3" s="21" t="s">
        <v>310</v>
      </c>
      <c r="B3" s="19">
        <f>SUMPRODUCT(
  (IFERROR(TEXT(Transactions!$B$2:$B$2000, "yyyy-mm"), RIGHT(Transactions!$B$2:$B$2000, 4)&amp;"-"&amp;MID(Transactions!$B$2:$B$2000, 4, 2)) = A3) * 
  (Transactions!$P$2:$P$2000 = "Active") * 
  (Transactions!$M$2:$M$2000 = "INR") * 
  Transactions!$T$2:$T$2000
)</f>
        <v>104148.3735</v>
      </c>
      <c r="C3" s="19">
        <f t="shared" ref="C3:C17" si="1">C2 + B3</f>
        <v>168363.6175</v>
      </c>
      <c r="D3" s="23">
        <f>(B3-B2)/B2</f>
        <v>0.6218637042</v>
      </c>
    </row>
    <row r="4">
      <c r="A4" s="21" t="s">
        <v>251</v>
      </c>
      <c r="B4" s="19">
        <f>SUMPRODUCT(
  (IFERROR(TEXT(Transactions!$B$2:$B$2000, "yyyy-mm"), RIGHT(Transactions!$B$2:$B$2000, 4)&amp;"-"&amp;MID(Transactions!$B$2:$B$2000, 4, 2)) = A4) * 
  (Transactions!$P$2:$P$2000 = "Active") * 
  (Transactions!$M$2:$M$2000 = "INR") * 
  Transactions!$T$2:$T$2000
)</f>
        <v>0</v>
      </c>
      <c r="C4" s="19">
        <f t="shared" si="1"/>
        <v>168363.6175</v>
      </c>
      <c r="D4" s="22" t="s">
        <v>309</v>
      </c>
    </row>
    <row r="5">
      <c r="A5" s="21" t="s">
        <v>311</v>
      </c>
      <c r="B5" s="19">
        <f>SUMPRODUCT(
  (IFERROR(TEXT(Transactions!$B$2:$B$2000, "yyyy-mm"), RIGHT(Transactions!$B$2:$B$2000, 4)&amp;"-"&amp;MID(Transactions!$B$2:$B$2000, 4, 2)) = A5) * 
  (Transactions!$P$2:$P$2000 = "Active") * 
  (Transactions!$M$2:$M$2000 = "INR") * 
  Transactions!$T$2:$T$2000
)</f>
        <v>72642.69768</v>
      </c>
      <c r="C5" s="19">
        <f t="shared" si="1"/>
        <v>241006.3152</v>
      </c>
      <c r="D5" s="23">
        <f>(B5-B3)/B3</f>
        <v>-0.3025076126</v>
      </c>
    </row>
    <row r="6">
      <c r="A6" s="21" t="s">
        <v>312</v>
      </c>
      <c r="B6" s="19">
        <f>SUMPRODUCT(
  (IFERROR(TEXT(Transactions!$B$2:$B$2000, "yyyy-mm"), RIGHT(Transactions!$B$2:$B$2000, 4)&amp;"-"&amp;MID(Transactions!$B$2:$B$2000, 4, 2)) = A6) * 
  (Transactions!$P$2:$P$2000 = "Active") * 
  (Transactions!$M$2:$M$2000 = "INR") * 
  Transactions!$T$2:$T$2000
)</f>
        <v>22074.427</v>
      </c>
      <c r="C6" s="19">
        <f t="shared" si="1"/>
        <v>263080.7422</v>
      </c>
      <c r="D6" s="23">
        <f t="shared" ref="D6:D10" si="2">(B6-B5)/B5</f>
        <v>-0.6961232484</v>
      </c>
    </row>
    <row r="7">
      <c r="A7" s="21" t="s">
        <v>313</v>
      </c>
      <c r="B7" s="19">
        <f>SUMPRODUCT(
  (IFERROR(TEXT(Transactions!$B$2:$B$2000, "yyyy-mm"), RIGHT(Transactions!$B$2:$B$2000, 4)&amp;"-"&amp;MID(Transactions!$B$2:$B$2000, 4, 2)) = A7) * 
  (Transactions!$P$2:$P$2000 = "Active") * 
  (Transactions!$M$2:$M$2000 = "INR") * 
  Transactions!$T$2:$T$2000
)</f>
        <v>196104.0575</v>
      </c>
      <c r="C7" s="19">
        <f t="shared" si="1"/>
        <v>459184.7997</v>
      </c>
      <c r="D7" s="23">
        <f t="shared" si="2"/>
        <v>7.883766609</v>
      </c>
    </row>
    <row r="8">
      <c r="A8" s="21" t="s">
        <v>314</v>
      </c>
      <c r="B8" s="19">
        <f>SUMPRODUCT(
  (IFERROR(TEXT(Transactions!$B$2:$B$2000, "yyyy-mm"), RIGHT(Transactions!$B$2:$B$2000, 4)&amp;"-"&amp;MID(Transactions!$B$2:$B$2000, 4, 2)) = A8) * 
  (Transactions!$P$2:$P$2000 = "Active") * 
  (Transactions!$M$2:$M$2000 = "INR") * 
  Transactions!$T$2:$T$2000
)</f>
        <v>9593.2515</v>
      </c>
      <c r="C8" s="19">
        <f t="shared" si="1"/>
        <v>468778.0512</v>
      </c>
      <c r="D8" s="23">
        <f t="shared" si="2"/>
        <v>-0.9510808108</v>
      </c>
    </row>
    <row r="9">
      <c r="A9" s="21" t="s">
        <v>315</v>
      </c>
      <c r="B9" s="19">
        <f>SUMPRODUCT(
  (IFERROR(TEXT(Transactions!$B$2:$B$2000, "yyyy-mm"), RIGHT(Transactions!$B$2:$B$2000, 4)&amp;"-"&amp;MID(Transactions!$B$2:$B$2000, 4, 2)) = A9) * 
  (Transactions!$P$2:$P$2000 = "Active") * 
  (Transactions!$M$2:$M$2000 = "INR") * 
  Transactions!$T$2:$T$2000
)</f>
        <v>87251.8785</v>
      </c>
      <c r="C9" s="19">
        <f t="shared" si="1"/>
        <v>556029.9297</v>
      </c>
      <c r="D9" s="23">
        <f t="shared" si="2"/>
        <v>8.095130937</v>
      </c>
    </row>
    <row r="10">
      <c r="A10" s="21" t="s">
        <v>316</v>
      </c>
      <c r="B10" s="19">
        <f>SUMPRODUCT(
  (IFERROR(TEXT(Transactions!$B$2:$B$2000, "yyyy-mm"), RIGHT(Transactions!$B$2:$B$2000, 4)&amp;"-"&amp;MID(Transactions!$B$2:$B$2000, 4, 2)) = A10) * 
  (Transactions!$P$2:$P$2000 = "Active") * 
  (Transactions!$M$2:$M$2000 = "INR") * 
  Transactions!$T$2:$T$2000
)</f>
        <v>11002.547</v>
      </c>
      <c r="C10" s="19">
        <f t="shared" si="1"/>
        <v>567032.4767</v>
      </c>
      <c r="D10" s="23">
        <f t="shared" si="2"/>
        <v>-0.8738990244</v>
      </c>
    </row>
    <row r="11">
      <c r="A11" s="21" t="s">
        <v>215</v>
      </c>
      <c r="B11" s="19">
        <f>SUMPRODUCT(
  (IFERROR(TEXT(Transactions!$B$2:$B$2000, "yyyy-mm"), RIGHT(Transactions!$B$2:$B$2000, 4)&amp;"-"&amp;MID(Transactions!$B$2:$B$2000, 4, 2)) = A11) * 
  (Transactions!$P$2:$P$2000 = "Active") * 
  (Transactions!$M$2:$M$2000 = "INR") * 
  Transactions!$T$2:$T$2000
)</f>
        <v>0</v>
      </c>
      <c r="C11" s="19">
        <f t="shared" si="1"/>
        <v>567032.4767</v>
      </c>
      <c r="D11" s="22" t="s">
        <v>309</v>
      </c>
    </row>
    <row r="12">
      <c r="A12" s="21" t="s">
        <v>317</v>
      </c>
      <c r="B12" s="19">
        <f>SUMPRODUCT(
  (IFERROR(TEXT(Transactions!$B$2:$B$2000, "yyyy-mm"), RIGHT(Transactions!$B$2:$B$2000, 4)&amp;"-"&amp;MID(Transactions!$B$2:$B$2000, 4, 2)) = A12) * 
  (Transactions!$P$2:$P$2000 = "Active") * 
  (Transactions!$M$2:$M$2000 = "INR") * 
  Transactions!$T$2:$T$2000
)</f>
        <v>79148.06413</v>
      </c>
      <c r="C12" s="19">
        <f t="shared" si="1"/>
        <v>646180.5408</v>
      </c>
      <c r="D12" s="23">
        <f>(B12-B10)/B10</f>
        <v>6.193612909</v>
      </c>
    </row>
    <row r="13">
      <c r="A13" s="21" t="s">
        <v>133</v>
      </c>
      <c r="B13" s="19">
        <f>SUMPRODUCT(
  (IFERROR(TEXT(Transactions!$B$2:$B$2000, "yyyy-mm"), RIGHT(Transactions!$B$2:$B$2000, 4)&amp;"-"&amp;MID(Transactions!$B$2:$B$2000, 4, 2)) = A13) * 
  (Transactions!$P$2:$P$2000 = "Active") * 
  (Transactions!$M$2:$M$2000 = "INR") * 
  Transactions!$T$2:$T$2000
)</f>
        <v>11797.64</v>
      </c>
      <c r="C13" s="19">
        <f t="shared" si="1"/>
        <v>657978.1808</v>
      </c>
      <c r="D13" s="22" t="s">
        <v>309</v>
      </c>
    </row>
    <row r="14">
      <c r="A14" s="21" t="s">
        <v>318</v>
      </c>
      <c r="B14" s="19">
        <f>SUMPRODUCT(
  (IFERROR(TEXT(Transactions!$B$2:$B$2000, "yyyy-mm"), RIGHT(Transactions!$B$2:$B$2000, 4)&amp;"-"&amp;MID(Transactions!$B$2:$B$2000, 4, 2)) = A14) * 
  (Transactions!$P$2:$P$2000 = "Active") * 
  (Transactions!$M$2:$M$2000 = "INR") * 
  Transactions!$T$2:$T$2000
)</f>
        <v>52654.16218</v>
      </c>
      <c r="C14" s="19">
        <f t="shared" si="1"/>
        <v>710632.343</v>
      </c>
      <c r="D14" s="23">
        <f>(B14-(B13+B12))/(B13+B12)</f>
        <v>-0.4210373906</v>
      </c>
    </row>
    <row r="15">
      <c r="A15" s="21" t="s">
        <v>319</v>
      </c>
      <c r="B15" s="19">
        <f>SUMPRODUCT(
  (IFERROR(TEXT(Transactions!$B$2:$B$2000, "yyyy-mm"), RIGHT(Transactions!$B$2:$B$2000, 4)&amp;"-"&amp;MID(Transactions!$B$2:$B$2000, 4, 2)) = A15) * 
  (Transactions!$P$2:$P$2000 = "Active") * 
  (Transactions!$M$2:$M$2000 = "INR") * 
  Transactions!$T$2:$T$2000
)</f>
        <v>36873.134</v>
      </c>
      <c r="C15" s="19">
        <f t="shared" si="1"/>
        <v>747505.477</v>
      </c>
      <c r="D15" s="23">
        <f t="shared" ref="D15:D17" si="3">(B15-B14)/B14</f>
        <v>-0.299710935</v>
      </c>
    </row>
    <row r="16">
      <c r="A16" s="21" t="s">
        <v>320</v>
      </c>
      <c r="B16" s="19">
        <f>SUMPRODUCT(
  (IFERROR(TEXT(Transactions!$B$2:$B$2000, "yyyy-mm"), RIGHT(Transactions!$B$2:$B$2000, 4)&amp;"-"&amp;MID(Transactions!$B$2:$B$2000, 4, 2)) = A16) * 
  (Transactions!$P$2:$P$2000 = "Active") * 
  (Transactions!$M$2:$M$2000 = "INR") * 
  Transactions!$T$2:$T$2000
)</f>
        <v>94659.60308</v>
      </c>
      <c r="C16" s="19">
        <f t="shared" si="1"/>
        <v>842165.0801</v>
      </c>
      <c r="D16" s="23">
        <f t="shared" si="3"/>
        <v>1.567169991</v>
      </c>
    </row>
    <row r="17">
      <c r="A17" s="21" t="s">
        <v>321</v>
      </c>
      <c r="B17" s="19">
        <f>SUMPRODUCT(
  (IFERROR(TEXT(Transactions!$B$2:$B$2000, "yyyy-mm"), RIGHT(Transactions!$B$2:$B$2000, 4)&amp;"-"&amp;MID(Transactions!$B$2:$B$2000, 4, 2)) = A17) * 
  (Transactions!$P$2:$P$2000 = "Active") * 
  (Transactions!$M$2:$M$2000 = "INR") * 
  Transactions!$T$2:$T$2000
)</f>
        <v>8999.1</v>
      </c>
      <c r="C17" s="19">
        <f t="shared" si="1"/>
        <v>851164.1801</v>
      </c>
      <c r="D17" s="23">
        <f t="shared" si="3"/>
        <v>-0.904931991</v>
      </c>
    </row>
    <row r="18">
      <c r="A18" s="24"/>
    </row>
    <row r="19">
      <c r="A19" s="24"/>
    </row>
    <row r="20">
      <c r="A20" s="24"/>
    </row>
    <row r="21">
      <c r="A21" s="24"/>
    </row>
    <row r="22">
      <c r="A22" s="24"/>
    </row>
    <row r="23">
      <c r="A23" s="24"/>
    </row>
    <row r="24">
      <c r="A24" s="24"/>
    </row>
    <row r="25">
      <c r="A25" s="24"/>
    </row>
    <row r="26">
      <c r="A26" s="24"/>
    </row>
    <row r="27">
      <c r="A27" s="24"/>
    </row>
    <row r="28">
      <c r="A28" s="24"/>
    </row>
    <row r="29">
      <c r="A29" s="24"/>
    </row>
    <row r="30">
      <c r="A30" s="24"/>
    </row>
    <row r="31">
      <c r="A31" s="24"/>
    </row>
    <row r="32">
      <c r="A32" s="24"/>
    </row>
    <row r="33">
      <c r="A33" s="24"/>
    </row>
    <row r="34">
      <c r="A34" s="24"/>
    </row>
    <row r="35">
      <c r="A35" s="24"/>
    </row>
    <row r="36">
      <c r="A36" s="24"/>
    </row>
    <row r="37">
      <c r="A37" s="24"/>
    </row>
    <row r="38">
      <c r="A38" s="24"/>
    </row>
    <row r="39">
      <c r="A39" s="24"/>
    </row>
    <row r="40">
      <c r="A40" s="24"/>
    </row>
    <row r="41">
      <c r="A41" s="24"/>
    </row>
    <row r="42">
      <c r="A42" s="24"/>
    </row>
    <row r="43">
      <c r="A43" s="24"/>
    </row>
    <row r="44">
      <c r="A44" s="24"/>
    </row>
    <row r="45">
      <c r="A45" s="24"/>
    </row>
    <row r="46">
      <c r="A46" s="24"/>
    </row>
    <row r="47">
      <c r="A47" s="24"/>
    </row>
    <row r="48">
      <c r="A48" s="24"/>
    </row>
    <row r="49">
      <c r="A49" s="24"/>
    </row>
    <row r="50">
      <c r="A50" s="24"/>
    </row>
    <row r="51">
      <c r="A51" s="24"/>
    </row>
    <row r="52">
      <c r="A52" s="24"/>
    </row>
    <row r="53">
      <c r="A53" s="24"/>
    </row>
    <row r="54">
      <c r="A54" s="24"/>
    </row>
    <row r="55">
      <c r="A55" s="24"/>
    </row>
    <row r="56">
      <c r="A56" s="24"/>
    </row>
    <row r="57">
      <c r="A57" s="24"/>
    </row>
    <row r="58">
      <c r="A58" s="24"/>
    </row>
    <row r="59">
      <c r="A59" s="24"/>
    </row>
    <row r="60">
      <c r="A60" s="24"/>
    </row>
    <row r="61">
      <c r="A61" s="24"/>
    </row>
    <row r="62">
      <c r="A62" s="24"/>
    </row>
    <row r="63">
      <c r="A63" s="24"/>
    </row>
    <row r="64">
      <c r="A64" s="24"/>
    </row>
    <row r="65">
      <c r="A65" s="24"/>
    </row>
    <row r="66">
      <c r="A66" s="24"/>
    </row>
    <row r="67">
      <c r="A67" s="24"/>
    </row>
    <row r="68">
      <c r="A68" s="24"/>
    </row>
    <row r="69">
      <c r="A69" s="24"/>
    </row>
    <row r="70">
      <c r="A70" s="24"/>
    </row>
    <row r="71">
      <c r="A71" s="24"/>
    </row>
    <row r="72">
      <c r="A72" s="24"/>
    </row>
    <row r="73">
      <c r="A73" s="24"/>
    </row>
    <row r="74">
      <c r="A74" s="24"/>
    </row>
    <row r="75">
      <c r="A75" s="24"/>
    </row>
    <row r="76">
      <c r="A76" s="24"/>
    </row>
    <row r="77">
      <c r="A77" s="24"/>
    </row>
    <row r="78">
      <c r="A78" s="24"/>
    </row>
    <row r="79">
      <c r="A79" s="24"/>
    </row>
    <row r="80">
      <c r="A80" s="24"/>
    </row>
    <row r="81">
      <c r="A81" s="24"/>
    </row>
    <row r="82">
      <c r="A82" s="24"/>
    </row>
    <row r="83">
      <c r="A83" s="24"/>
    </row>
    <row r="84">
      <c r="A84" s="24"/>
    </row>
    <row r="85">
      <c r="A85" s="24"/>
    </row>
    <row r="86">
      <c r="A86" s="24"/>
    </row>
    <row r="87">
      <c r="A87" s="24"/>
    </row>
    <row r="88">
      <c r="A88" s="24"/>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row r="886">
      <c r="A886" s="24"/>
    </row>
    <row r="887">
      <c r="A887" s="24"/>
    </row>
    <row r="888">
      <c r="A888" s="24"/>
    </row>
    <row r="889">
      <c r="A889" s="24"/>
    </row>
    <row r="890">
      <c r="A890" s="24"/>
    </row>
    <row r="891">
      <c r="A891" s="24"/>
    </row>
    <row r="892">
      <c r="A892" s="24"/>
    </row>
    <row r="893">
      <c r="A893" s="24"/>
    </row>
    <row r="894">
      <c r="A894" s="24"/>
    </row>
    <row r="895">
      <c r="A895" s="24"/>
    </row>
    <row r="896">
      <c r="A896" s="24"/>
    </row>
    <row r="897">
      <c r="A897" s="24"/>
    </row>
    <row r="898">
      <c r="A898" s="24"/>
    </row>
    <row r="899">
      <c r="A899" s="24"/>
    </row>
    <row r="900">
      <c r="A900" s="24"/>
    </row>
    <row r="901">
      <c r="A901" s="24"/>
    </row>
    <row r="902">
      <c r="A902" s="24"/>
    </row>
    <row r="903">
      <c r="A903" s="24"/>
    </row>
    <row r="904">
      <c r="A904" s="24"/>
    </row>
    <row r="905">
      <c r="A905" s="24"/>
    </row>
    <row r="906">
      <c r="A906" s="24"/>
    </row>
    <row r="907">
      <c r="A907" s="24"/>
    </row>
    <row r="908">
      <c r="A908" s="24"/>
    </row>
    <row r="909">
      <c r="A909" s="24"/>
    </row>
    <row r="910">
      <c r="A910" s="24"/>
    </row>
    <row r="911">
      <c r="A911" s="24"/>
    </row>
    <row r="912">
      <c r="A912" s="24"/>
    </row>
    <row r="913">
      <c r="A913" s="24"/>
    </row>
    <row r="914">
      <c r="A914" s="24"/>
    </row>
    <row r="915">
      <c r="A915" s="24"/>
    </row>
    <row r="916">
      <c r="A916" s="24"/>
    </row>
    <row r="917">
      <c r="A917" s="24"/>
    </row>
    <row r="918">
      <c r="A918" s="24"/>
    </row>
    <row r="919">
      <c r="A919" s="24"/>
    </row>
    <row r="920">
      <c r="A920" s="24"/>
    </row>
    <row r="921">
      <c r="A921" s="24"/>
    </row>
    <row r="922">
      <c r="A922" s="24"/>
    </row>
    <row r="923">
      <c r="A923" s="24"/>
    </row>
    <row r="924">
      <c r="A924" s="24"/>
    </row>
    <row r="925">
      <c r="A925" s="24"/>
    </row>
    <row r="926">
      <c r="A926" s="24"/>
    </row>
    <row r="927">
      <c r="A927" s="24"/>
    </row>
    <row r="928">
      <c r="A928" s="24"/>
    </row>
    <row r="929">
      <c r="A929" s="24"/>
    </row>
    <row r="930">
      <c r="A930" s="24"/>
    </row>
    <row r="931">
      <c r="A931" s="24"/>
    </row>
    <row r="932">
      <c r="A932" s="24"/>
    </row>
    <row r="933">
      <c r="A933" s="24"/>
    </row>
    <row r="934">
      <c r="A934" s="24"/>
    </row>
    <row r="935">
      <c r="A935" s="24"/>
    </row>
    <row r="936">
      <c r="A936" s="24"/>
    </row>
    <row r="937">
      <c r="A937" s="24"/>
    </row>
    <row r="938">
      <c r="A938" s="24"/>
    </row>
    <row r="939">
      <c r="A939" s="24"/>
    </row>
    <row r="940">
      <c r="A940" s="24"/>
    </row>
    <row r="941">
      <c r="A941" s="24"/>
    </row>
    <row r="942">
      <c r="A942" s="24"/>
    </row>
    <row r="943">
      <c r="A943" s="24"/>
    </row>
    <row r="944">
      <c r="A944" s="24"/>
    </row>
    <row r="945">
      <c r="A945" s="24"/>
    </row>
    <row r="946">
      <c r="A946" s="24"/>
    </row>
    <row r="947">
      <c r="A947" s="24"/>
    </row>
    <row r="948">
      <c r="A948" s="24"/>
    </row>
    <row r="949">
      <c r="A949" s="24"/>
    </row>
    <row r="950">
      <c r="A950" s="24"/>
    </row>
    <row r="951">
      <c r="A951" s="24"/>
    </row>
    <row r="952">
      <c r="A952" s="24"/>
    </row>
    <row r="953">
      <c r="A953" s="24"/>
    </row>
    <row r="954">
      <c r="A954" s="24"/>
    </row>
    <row r="955">
      <c r="A955" s="24"/>
    </row>
    <row r="956">
      <c r="A956" s="24"/>
    </row>
    <row r="957">
      <c r="A957" s="24"/>
    </row>
    <row r="958">
      <c r="A958" s="24"/>
    </row>
    <row r="959">
      <c r="A959" s="24"/>
    </row>
    <row r="960">
      <c r="A960" s="24"/>
    </row>
    <row r="961">
      <c r="A961" s="24"/>
    </row>
    <row r="962">
      <c r="A962" s="24"/>
    </row>
    <row r="963">
      <c r="A963" s="24"/>
    </row>
    <row r="964">
      <c r="A964" s="24"/>
    </row>
    <row r="965">
      <c r="A965" s="24"/>
    </row>
    <row r="966">
      <c r="A966" s="24"/>
    </row>
    <row r="967">
      <c r="A967" s="24"/>
    </row>
    <row r="968">
      <c r="A968" s="24"/>
    </row>
    <row r="969">
      <c r="A969" s="24"/>
    </row>
    <row r="970">
      <c r="A970" s="24"/>
    </row>
    <row r="971">
      <c r="A971" s="24"/>
    </row>
    <row r="972">
      <c r="A972" s="24"/>
    </row>
    <row r="973">
      <c r="A973" s="24"/>
    </row>
    <row r="974">
      <c r="A974" s="24"/>
    </row>
    <row r="975">
      <c r="A975" s="24"/>
    </row>
    <row r="976">
      <c r="A976" s="24"/>
    </row>
    <row r="977">
      <c r="A977" s="24"/>
    </row>
    <row r="978">
      <c r="A978" s="24"/>
    </row>
    <row r="979">
      <c r="A979" s="24"/>
    </row>
    <row r="980">
      <c r="A980" s="24"/>
    </row>
    <row r="981">
      <c r="A981" s="24"/>
    </row>
    <row r="982">
      <c r="A982" s="24"/>
    </row>
    <row r="983">
      <c r="A983" s="24"/>
    </row>
    <row r="984">
      <c r="A984" s="24"/>
    </row>
    <row r="985">
      <c r="A985" s="24"/>
    </row>
    <row r="986">
      <c r="A986" s="24"/>
    </row>
    <row r="987">
      <c r="A987" s="24"/>
    </row>
    <row r="988">
      <c r="A988" s="24"/>
    </row>
    <row r="989">
      <c r="A989" s="24"/>
    </row>
    <row r="990">
      <c r="A990" s="24"/>
    </row>
    <row r="991">
      <c r="A991" s="24"/>
    </row>
    <row r="992">
      <c r="A992" s="24"/>
    </row>
    <row r="993">
      <c r="A993" s="24"/>
    </row>
    <row r="994">
      <c r="A994" s="24"/>
    </row>
    <row r="995">
      <c r="A995" s="24"/>
    </row>
    <row r="996">
      <c r="A996" s="24"/>
    </row>
    <row r="997">
      <c r="A997" s="24"/>
    </row>
    <row r="998">
      <c r="A998" s="24"/>
    </row>
    <row r="999">
      <c r="A999" s="24"/>
    </row>
    <row r="1000">
      <c r="A1000" s="24"/>
    </row>
  </sheetData>
  <drawing r:id="rId1"/>
</worksheet>
</file>